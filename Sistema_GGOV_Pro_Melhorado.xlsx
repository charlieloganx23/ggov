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fcb175263ccc1a41/Documentos/gerenciar_demanda/"/>
    </mc:Choice>
  </mc:AlternateContent>
  <xr:revisionPtr revIDLastSave="8" documentId="11_483CDFA3D31C78F29232EDCCA0BFBD31855C7564" xr6:coauthVersionLast="47" xr6:coauthVersionMax="47" xr10:uidLastSave="{9E127C23-EAE1-460B-8C16-42DD4A625A1E}"/>
  <bookViews>
    <workbookView xWindow="-108" yWindow="-108" windowWidth="23256" windowHeight="12456" xr2:uid="{00000000-000D-0000-FFFF-FFFF00000000}"/>
  </bookViews>
  <sheets>
    <sheet name="Página inicial" sheetId="1" r:id="rId1"/>
    <sheet name="Processo 1" sheetId="2" r:id="rId2"/>
    <sheet name="Processo 2" sheetId="3" r:id="rId3"/>
    <sheet name="Processo 3" sheetId="4" r:id="rId4"/>
    <sheet name="Dashboard" sheetId="5" r:id="rId5"/>
    <sheet name="Instruçõe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/>
  <c r="F4" i="1"/>
  <c r="D4" i="1"/>
  <c r="B4" i="1"/>
  <c r="C4" i="1"/>
  <c r="A4" i="1"/>
  <c r="B14" i="5"/>
  <c r="B13" i="5"/>
  <c r="B12" i="5"/>
  <c r="B11" i="5"/>
  <c r="H7" i="5"/>
  <c r="G7" i="5"/>
  <c r="F7" i="5"/>
  <c r="E7" i="5"/>
  <c r="D7" i="5"/>
  <c r="C7" i="5"/>
  <c r="B7" i="5"/>
  <c r="A7" i="5"/>
  <c r="C15" i="4"/>
  <c r="D8" i="1" s="1"/>
  <c r="L4" i="4"/>
  <c r="H4" i="4"/>
  <c r="F4" i="4"/>
  <c r="L3" i="4"/>
  <c r="J4" i="4" s="1"/>
  <c r="O8" i="1" s="1"/>
  <c r="H3" i="4"/>
  <c r="C15" i="3"/>
  <c r="D7" i="1" s="1"/>
  <c r="L4" i="3"/>
  <c r="H4" i="3"/>
  <c r="F4" i="3"/>
  <c r="L3" i="3"/>
  <c r="J4" i="3" s="1"/>
  <c r="O7" i="1" s="1"/>
  <c r="H3" i="3"/>
  <c r="C15" i="2"/>
  <c r="D6" i="1" s="1"/>
  <c r="L4" i="2"/>
  <c r="H4" i="2"/>
  <c r="F4" i="2"/>
  <c r="L3" i="2"/>
  <c r="J4" i="2" s="1"/>
  <c r="O6" i="1" s="1"/>
  <c r="H4" i="1" s="1"/>
  <c r="H3" i="2"/>
  <c r="K8" i="1"/>
  <c r="L8" i="1" s="1"/>
  <c r="J8" i="1"/>
  <c r="I8" i="1"/>
  <c r="H8" i="1"/>
  <c r="G8" i="1"/>
  <c r="M8" i="1" s="1"/>
  <c r="C8" i="1"/>
  <c r="M7" i="1"/>
  <c r="K7" i="1"/>
  <c r="L7" i="1" s="1"/>
  <c r="E4" i="1" s="1"/>
  <c r="J7" i="1"/>
  <c r="I7" i="1"/>
  <c r="H7" i="1"/>
  <c r="G7" i="1"/>
  <c r="C7" i="1"/>
  <c r="K6" i="1"/>
  <c r="L6" i="1" s="1"/>
  <c r="J6" i="1"/>
  <c r="I6" i="1"/>
  <c r="H6" i="1"/>
  <c r="G6" i="1"/>
  <c r="M6" i="1" s="1"/>
  <c r="C6" i="1"/>
</calcChain>
</file>

<file path=xl/sharedStrings.xml><?xml version="1.0" encoding="utf-8"?>
<sst xmlns="http://schemas.openxmlformats.org/spreadsheetml/2006/main" count="295" uniqueCount="198">
  <si>
    <t>🚀 GABINETE DE GOVERNANÇA - OVERVIEW EXECUTIVO DE PROCESSOS</t>
  </si>
  <si>
    <t>📊 RESUMO EXECUTIVO EM TEMPO REAL</t>
  </si>
  <si>
    <t>📋 Total</t>
  </si>
  <si>
    <t>🚀 Ativos</t>
  </si>
  <si>
    <t>✅ Concluídos</t>
  </si>
  <si>
    <t>⏸️ Planejados</t>
  </si>
  <si>
    <t>🔴 Críticos</t>
  </si>
  <si>
    <t>💯 Saúde Geral</t>
  </si>
  <si>
    <t>💰 Orçamento Total</t>
  </si>
  <si>
    <t>📈 Eficiência Média</t>
  </si>
  <si>
    <t>ID</t>
  </si>
  <si>
    <t>Processo</t>
  </si>
  <si>
    <t>Status</t>
  </si>
  <si>
    <t>Responsável Principal</t>
  </si>
  <si>
    <t>Data Início</t>
  </si>
  <si>
    <t>Data Término</t>
  </si>
  <si>
    <t>% Concluído</t>
  </si>
  <si>
    <t>Etapas Concluídas</t>
  </si>
  <si>
    <t>Tempo Est.</t>
  </si>
  <si>
    <t>Tempo Real</t>
  </si>
  <si>
    <t>Dias Rest.</t>
  </si>
  <si>
    <t>Risco</t>
  </si>
  <si>
    <t>Saúde</t>
  </si>
  <si>
    <t>Custo Est.</t>
  </si>
  <si>
    <t>Eficiência</t>
  </si>
  <si>
    <t>Link</t>
  </si>
  <si>
    <t>Mapeamento Processos GGOV</t>
  </si>
  <si>
    <t>Processo 1</t>
  </si>
  <si>
    <t>Atualização Normativas Internas</t>
  </si>
  <si>
    <t>Processo 2</t>
  </si>
  <si>
    <t>Implantação Sistema GED</t>
  </si>
  <si>
    <t>Processo 3</t>
  </si>
  <si>
    <t>Projeto
Mapeamento dos processos do GGOV</t>
  </si>
  <si>
    <t>Descrição da demanda</t>
  </si>
  <si>
    <t>Realizar o mapeamento completo dos processos administrativos e operacionais do Gabinete de Governança (GGOV), com a finalidade de otimizar o desempenho.</t>
  </si>
  <si>
    <t>Status Geral</t>
  </si>
  <si>
    <t>⬅️ Voltar</t>
  </si>
  <si>
    <t>% Conclusão</t>
  </si>
  <si>
    <t>Etapas</t>
  </si>
  <si>
    <t>SEI:</t>
  </si>
  <si>
    <t>0000000000000</t>
  </si>
  <si>
    <t>Prioridade:</t>
  </si>
  <si>
    <t>Alta</t>
  </si>
  <si>
    <t>Categoria:</t>
  </si>
  <si>
    <t>Mapeamento</t>
  </si>
  <si>
    <t>Risco:</t>
  </si>
  <si>
    <t>Orçamento:</t>
  </si>
  <si>
    <t>Gasto Real:</t>
  </si>
  <si>
    <t>Início:</t>
  </si>
  <si>
    <t>Término:</t>
  </si>
  <si>
    <t>Duração:</t>
  </si>
  <si>
    <t>Dias Rest.:</t>
  </si>
  <si>
    <t>Eficiência:</t>
  </si>
  <si>
    <t>Coord. Atual:</t>
  </si>
  <si>
    <t>Etapa</t>
  </si>
  <si>
    <t>Responsável</t>
  </si>
  <si>
    <t>Dt. Início</t>
  </si>
  <si>
    <t>Dt. Término</t>
  </si>
  <si>
    <t>Produtos/Entregas</t>
  </si>
  <si>
    <t>Dependência</t>
  </si>
  <si>
    <t>% Progresso</t>
  </si>
  <si>
    <t>Horas Est.</t>
  </si>
  <si>
    <t>Horas Real</t>
  </si>
  <si>
    <t>Custo</t>
  </si>
  <si>
    <t>Tarefas Detalhadas</t>
  </si>
  <si>
    <t>Levantamento</t>
  </si>
  <si>
    <t>Em execução</t>
  </si>
  <si>
    <t>Luma Damon</t>
  </si>
  <si>
    <t>Plano do projeto</t>
  </si>
  <si>
    <t>-</t>
  </si>
  <si>
    <t>1. Entrevistas
2. Coleta docs</t>
  </si>
  <si>
    <t>Suerlei Gondim</t>
  </si>
  <si>
    <t>Relatório</t>
  </si>
  <si>
    <t>Etapa 1</t>
  </si>
  <si>
    <t>1. Documentar
2. Gargalos</t>
  </si>
  <si>
    <t>Análise</t>
  </si>
  <si>
    <t>Não iniciada</t>
  </si>
  <si>
    <t>Pedro Analista</t>
  </si>
  <si>
    <t>Mapas</t>
  </si>
  <si>
    <t>Etapa 1,2</t>
  </si>
  <si>
    <t>1. Eficiência
2. Melhorias</t>
  </si>
  <si>
    <t>Documentação</t>
  </si>
  <si>
    <t>Ana Documentadora</t>
  </si>
  <si>
    <t>Relatório Final</t>
  </si>
  <si>
    <t>Etapa 3</t>
  </si>
  <si>
    <t>1. Consolidar
2. Apresentar</t>
  </si>
  <si>
    <t>Validação</t>
  </si>
  <si>
    <t>Diretor GGOV</t>
  </si>
  <si>
    <t>Aprovação</t>
  </si>
  <si>
    <t>Etapa 4</t>
  </si>
  <si>
    <t>1. Revisar
2. Aprovar</t>
  </si>
  <si>
    <t>Implementação</t>
  </si>
  <si>
    <t>Equipe GGOV</t>
  </si>
  <si>
    <t>Processos Ativos</t>
  </si>
  <si>
    <t>Etapa 5</t>
  </si>
  <si>
    <t>1. Treinar
2. Monitorar</t>
  </si>
  <si>
    <t>Responsável Principal (Auto):</t>
  </si>
  <si>
    <t>Projeto
Atualização de Normativas Internas</t>
  </si>
  <si>
    <t>Revisar e atualizar todas as normativas internas do GGOV para garantir conformidade com as novas diretrizes e legislação vigente.</t>
  </si>
  <si>
    <t>Crítica</t>
  </si>
  <si>
    <t>Normativas</t>
  </si>
  <si>
    <t>Revisão Legislação</t>
  </si>
  <si>
    <t>Maria Santos</t>
  </si>
  <si>
    <t>Checklist Legal</t>
  </si>
  <si>
    <t>1. Leis
2. Decretos</t>
  </si>
  <si>
    <t>Análise Impacto</t>
  </si>
  <si>
    <t>João Jurídico</t>
  </si>
  <si>
    <t>Relatório Impacto</t>
  </si>
  <si>
    <t>1. Mudanças
2. Riscos</t>
  </si>
  <si>
    <t>Redação Normativas</t>
  </si>
  <si>
    <t>Equipe Jurídica</t>
  </si>
  <si>
    <t>Minutas</t>
  </si>
  <si>
    <t>Etapa 2</t>
  </si>
  <si>
    <t>1. Redigir
2. Revisar</t>
  </si>
  <si>
    <t>Validação Interna</t>
  </si>
  <si>
    <t>Comitê GGOV</t>
  </si>
  <si>
    <t>1. Apresentar
2. Ajustar</t>
  </si>
  <si>
    <t>Publicação</t>
  </si>
  <si>
    <t>Comunicação</t>
  </si>
  <si>
    <t>Normativas Publicadas</t>
  </si>
  <si>
    <t>1. Diagramar
2. Publicar</t>
  </si>
  <si>
    <t>Treinamento</t>
  </si>
  <si>
    <t>RH</t>
  </si>
  <si>
    <t>Equipe Capacitada</t>
  </si>
  <si>
    <t>1. Workshop
2. Material</t>
  </si>
  <si>
    <t>Projeto
Implantação do Sistema GED</t>
  </si>
  <si>
    <t>Implementar sistema de Gestão Eletrônica de Documentos para digitalização e controle de todos os documentos do gabinete.</t>
  </si>
  <si>
    <t>Média</t>
  </si>
  <si>
    <t>TI/Sistemas</t>
  </si>
  <si>
    <t>Levantamento Requisitos</t>
  </si>
  <si>
    <t>Planejada</t>
  </si>
  <si>
    <t>Carlos Pereira</t>
  </si>
  <si>
    <t>Especificações</t>
  </si>
  <si>
    <t>1. Reuniões
2. Documentar</t>
  </si>
  <si>
    <t>Seleção Fornecedor</t>
  </si>
  <si>
    <t>Compras</t>
  </si>
  <si>
    <t>Contrato</t>
  </si>
  <si>
    <t>1. Pesquisa
2. Cotação</t>
  </si>
  <si>
    <t>Customização Sistema</t>
  </si>
  <si>
    <t>Equipe TI</t>
  </si>
  <si>
    <t>Sistema Config</t>
  </si>
  <si>
    <t>1. Parametrizar
2. Integrar</t>
  </si>
  <si>
    <t>Migração Dados</t>
  </si>
  <si>
    <t>DBA</t>
  </si>
  <si>
    <t>Base Migrada</t>
  </si>
  <si>
    <t>1. Extrair
2. Importar</t>
  </si>
  <si>
    <t>Testes</t>
  </si>
  <si>
    <t>QA Team</t>
  </si>
  <si>
    <t>Homologação</t>
  </si>
  <si>
    <t>1. Testar
2. Ajustar</t>
  </si>
  <si>
    <t>Go-Live</t>
  </si>
  <si>
    <t>TI + GGOV</t>
  </si>
  <si>
    <t>Sistema Prod</t>
  </si>
  <si>
    <t>1. Deploy
2. Suporte</t>
  </si>
  <si>
    <t>📊 DASHBOARD EXECUTIVO - VISÃO ESTRATÉGICA 360°</t>
  </si>
  <si>
    <t>📅 Atualizado automaticamente em: 10/12/2025 21:45</t>
  </si>
  <si>
    <t>🎯 INDICADORES ESTRATÉGICOS EM TEMPO REAL</t>
  </si>
  <si>
    <t>⚠️ Críticos</t>
  </si>
  <si>
    <t>📈 Taxa Sucesso</t>
  </si>
  <si>
    <t>💯 Saúde</t>
  </si>
  <si>
    <t>💰 Orçamento</t>
  </si>
  <si>
    <t>⚡ Eficiência</t>
  </si>
  <si>
    <t>Quantidade</t>
  </si>
  <si>
    <t>Concluída</t>
  </si>
  <si>
    <t>Bloqueada</t>
  </si>
  <si>
    <t>📖 GUIA DO SISTEMA MELHORADO</t>
  </si>
  <si>
    <t>🚀 SISTEMA PRO MELHORADO - AUTOMAÇÕES COMPLETAS</t>
  </si>
  <si>
    <t>✨ NOVIDADES DESTA VERSÃO:</t>
  </si>
  <si>
    <t>📊 PÁGINA INICIAL APRIMORADA:</t>
  </si>
  <si>
    <t xml:space="preserve">   • KPIs em tempo real no topo da página</t>
  </si>
  <si>
    <t xml:space="preserve">   • Coluna 'Etapas Concluídas' mostra progresso visual</t>
  </si>
  <si>
    <t xml:space="preserve">   • Responsável Principal sincronizado automaticamente</t>
  </si>
  <si>
    <t xml:space="preserve">   • % Conclusão calculado pela média das etapas</t>
  </si>
  <si>
    <t xml:space="preserve">   • Indicadores de Saúde em 4 níveis (Excelente/Bom/Regular/Crítico)</t>
  </si>
  <si>
    <t xml:space="preserve">   • Data Bars visuais para % de progresso</t>
  </si>
  <si>
    <t xml:space="preserve">   • Ícones de status para etapas concluídas</t>
  </si>
  <si>
    <t>🤖 AUTOMAÇÕES NOS PROCESSOS:</t>
  </si>
  <si>
    <t xml:space="preserve">   • Status Geral atualizado conforme etapas</t>
  </si>
  <si>
    <t xml:space="preserve">   • % Conclusão calculado automaticamente pela média</t>
  </si>
  <si>
    <t xml:space="preserve">   • Responsável Principal identificado automaticamente</t>
  </si>
  <si>
    <t xml:space="preserve">   • Coordenador Atual lista todos os envolvidos</t>
  </si>
  <si>
    <t xml:space="preserve">   • Etapas Concluídas contadas automaticamente (ex: 2/6)</t>
  </si>
  <si>
    <t xml:space="preserve">   • Risco calculado pelo % de conclusão</t>
  </si>
  <si>
    <t xml:space="preserve">   • Eficiência orçamentária automática</t>
  </si>
  <si>
    <t>🔗 SINCRONIZAÇÃO AUTOMÁTICA:</t>
  </si>
  <si>
    <t xml:space="preserve">   1. Atualize o status das etapas nos processos</t>
  </si>
  <si>
    <t xml:space="preserve">   2. O Status Geral do processo atualiza sozinho</t>
  </si>
  <si>
    <t xml:space="preserve">   3. O % Conclusão é calculado automaticamente</t>
  </si>
  <si>
    <t xml:space="preserve">   4. O Responsável Principal é identificado</t>
  </si>
  <si>
    <t xml:space="preserve">   5. A Página inicial reflete TUDO automaticamente</t>
  </si>
  <si>
    <t xml:space="preserve">   6. Dashboard atualiza em tempo real</t>
  </si>
  <si>
    <t>📈 COMO USAR:</t>
  </si>
  <si>
    <t xml:space="preserve">   1. Vá em Processo 1, 2 ou 3</t>
  </si>
  <si>
    <t xml:space="preserve">   2. Atualize Status e % Progresso das etapas</t>
  </si>
  <si>
    <t xml:space="preserve">   3. Adicione responsáveis nas etapas</t>
  </si>
  <si>
    <t xml:space="preserve">   4. Volte à Página inicial e veja a mágica!</t>
  </si>
  <si>
    <t xml:space="preserve">   5. Confira o Dashboard para visão executiva</t>
  </si>
  <si>
    <t>💡 Tudo está conectado e sincronizado automaticamente!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</si>
</sst>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R\$\ #,##0"/>
    <numFmt numFmtId="166" formatCode="\R\$\ #,##0.00"/>
  </numFmts>
  <fonts count="27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</font>
    <font>
      <b/>
      <sz val="12"/>
      <color rgb="FF1F4E78"/>
      <name val="Calibri"/>
      <family val="2"/>
    </font>
    <font>
      <b/>
      <sz val="9"/>
      <color rgb="FFFFFFFF"/>
      <name val="Calibri"/>
      <family val="2"/>
    </font>
    <font>
      <b/>
      <sz val="13"/>
      <color rgb="FF1F4E78"/>
      <name val="Calibri"/>
      <family val="2"/>
    </font>
    <font>
      <b/>
      <sz val="10"/>
      <color rgb="FFFFFFFF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b/>
      <sz val="12"/>
      <color rgb="FFFFFFFF"/>
      <name val="Calibri"/>
      <family val="2"/>
    </font>
    <font>
      <b/>
      <sz val="14"/>
      <color rgb="FF4472C4"/>
      <name val="Calibri"/>
      <family val="2"/>
    </font>
    <font>
      <b/>
      <sz val="12"/>
      <name val="Calibri"/>
      <family val="2"/>
    </font>
    <font>
      <b/>
      <sz val="11"/>
      <color rgb="FFFFFFFF"/>
      <name val="Calibri"/>
      <family val="2"/>
    </font>
    <font>
      <b/>
      <sz val="11"/>
      <color rgb="FF1F4E78"/>
      <name val="Calibri"/>
      <family val="2"/>
    </font>
    <font>
      <b/>
      <sz val="9"/>
      <color rgb="FF7030A0"/>
      <name val="Calibri"/>
      <family val="2"/>
    </font>
    <font>
      <b/>
      <sz val="10"/>
      <color rgb="FF7030A0"/>
      <name val="Calibri"/>
      <family val="2"/>
    </font>
    <font>
      <b/>
      <sz val="11"/>
      <color rgb="FF000000"/>
      <name val="Calibri"/>
      <family val="2"/>
    </font>
    <font>
      <b/>
      <sz val="18"/>
      <color rgb="FFFFFFFF"/>
      <name val="Calibri"/>
      <family val="2"/>
    </font>
    <font>
      <i/>
      <sz val="10"/>
      <name val="Calibri"/>
      <family val="2"/>
    </font>
    <font>
      <b/>
      <sz val="14"/>
      <color rgb="FF1F4E78"/>
      <name val="Calibri"/>
      <family val="2"/>
    </font>
    <font>
      <b/>
      <sz val="14"/>
      <color rgb="FF4472D4"/>
      <name val="Calibri"/>
      <family val="2"/>
    </font>
    <font>
      <b/>
      <sz val="14"/>
      <color rgb="FFFFA500"/>
      <name val="Calibri"/>
      <family val="2"/>
    </font>
    <font>
      <b/>
      <sz val="14"/>
      <color rgb="FF00B050"/>
      <name val="Calibri"/>
      <family val="2"/>
    </font>
    <font>
      <b/>
      <sz val="14"/>
      <color rgb="FFC00000"/>
      <name val="Calibri"/>
      <family val="2"/>
    </font>
    <font>
      <b/>
      <sz val="14"/>
      <color rgb="FF00B0F0"/>
      <name val="Calibri"/>
      <family val="2"/>
    </font>
    <font>
      <b/>
      <sz val="14"/>
      <color rgb="FF92D050"/>
      <name val="Calibri"/>
      <family val="2"/>
    </font>
    <font>
      <b/>
      <sz val="14"/>
      <color rgb="FF7030A0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E7E6E6"/>
        <bgColor rgb="FFE7E6E6"/>
      </patternFill>
    </fill>
    <fill>
      <patternFill patternType="solid">
        <fgColor rgb="FF366092"/>
        <bgColor rgb="FF366092"/>
      </patternFill>
    </fill>
    <fill>
      <patternFill patternType="solid">
        <fgColor rgb="FFF2F2F2"/>
        <bgColor rgb="FFF2F2F2"/>
      </patternFill>
    </fill>
    <fill>
      <patternFill patternType="solid">
        <fgColor rgb="FFB6D7A8"/>
        <bgColor rgb="FFB6D7A8"/>
      </patternFill>
    </fill>
    <fill>
      <patternFill patternType="solid">
        <fgColor rgb="FF4472C4"/>
        <bgColor rgb="FF4472C4"/>
      </patternFill>
    </fill>
    <fill>
      <patternFill patternType="solid">
        <fgColor rgb="FFFFA500"/>
        <bgColor rgb="FFFFA500"/>
      </patternFill>
    </fill>
    <fill>
      <patternFill patternType="solid">
        <fgColor rgb="FFE6E6FA"/>
        <bgColor rgb="FFE6E6FA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4472D4"/>
        <bgColor rgb="FF4472D4"/>
      </patternFill>
    </fill>
    <fill>
      <patternFill patternType="solid">
        <fgColor rgb="FF00B050"/>
        <bgColor rgb="FF00B050"/>
      </patternFill>
    </fill>
    <fill>
      <patternFill patternType="solid">
        <fgColor rgb="FFC00000"/>
        <bgColor rgb="FFC00000"/>
      </patternFill>
    </fill>
    <fill>
      <patternFill patternType="solid">
        <fgColor rgb="FF00B0F0"/>
        <bgColor rgb="FF00B0F0"/>
      </patternFill>
    </fill>
    <fill>
      <patternFill patternType="solid">
        <fgColor rgb="FF92D050"/>
        <bgColor rgb="FF92D050"/>
      </patternFill>
    </fill>
    <fill>
      <patternFill patternType="solid">
        <fgColor rgb="FF7030A0"/>
        <bgColor rgb="FF7030A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7" fillId="0" borderId="1" xfId="0" applyFont="1" applyBorder="1"/>
    <xf numFmtId="0" fontId="0" fillId="0" borderId="1" xfId="0" applyBorder="1"/>
    <xf numFmtId="0" fontId="12" fillId="8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6" fontId="0" fillId="0" borderId="1" xfId="0" applyNumberFormat="1" applyBorder="1"/>
    <xf numFmtId="14" fontId="0" fillId="0" borderId="1" xfId="0" applyNumberFormat="1" applyBorder="1"/>
    <xf numFmtId="9" fontId="0" fillId="0" borderId="1" xfId="0" applyNumberFormat="1" applyBorder="1"/>
    <xf numFmtId="0" fontId="13" fillId="0" borderId="1" xfId="0" applyFont="1" applyBorder="1" applyAlignment="1">
      <alignment horizontal="center"/>
    </xf>
    <xf numFmtId="0" fontId="12" fillId="10" borderId="1" xfId="0" applyFont="1" applyFill="1" applyBorder="1" applyAlignment="1">
      <alignment horizontal="center"/>
    </xf>
    <xf numFmtId="0" fontId="16" fillId="11" borderId="1" xfId="0" applyFont="1" applyFill="1" applyBorder="1" applyAlignment="1">
      <alignment horizontal="center"/>
    </xf>
    <xf numFmtId="0" fontId="3" fillId="12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3" fillId="16" borderId="1" xfId="0" applyFont="1" applyFill="1" applyBorder="1" applyAlignment="1">
      <alignment horizontal="center" vertical="center" wrapText="1"/>
    </xf>
    <xf numFmtId="0" fontId="3" fillId="17" borderId="1" xfId="0" applyFont="1" applyFill="1" applyBorder="1" applyAlignment="1">
      <alignment horizontal="center" vertical="center" wrapText="1"/>
    </xf>
    <xf numFmtId="0" fontId="20" fillId="5" borderId="1" xfId="0" applyFont="1" applyFill="1" applyBorder="1" applyAlignment="1">
      <alignment horizontal="center" vertical="center"/>
    </xf>
    <xf numFmtId="0" fontId="21" fillId="5" borderId="1" xfId="0" applyFont="1" applyFill="1" applyBorder="1" applyAlignment="1">
      <alignment horizontal="center" vertical="center"/>
    </xf>
    <xf numFmtId="0" fontId="22" fillId="5" borderId="1" xfId="0" applyFont="1" applyFill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  <xf numFmtId="9" fontId="24" fillId="5" borderId="1" xfId="0" applyNumberFormat="1" applyFont="1" applyFill="1" applyBorder="1" applyAlignment="1">
      <alignment horizontal="center" vertical="center"/>
    </xf>
    <xf numFmtId="9" fontId="25" fillId="5" borderId="1" xfId="0" applyNumberFormat="1" applyFont="1" applyFill="1" applyBorder="1" applyAlignment="1">
      <alignment horizontal="center" vertical="center"/>
    </xf>
    <xf numFmtId="164" fontId="26" fillId="5" borderId="1" xfId="0" applyNumberFormat="1" applyFont="1" applyFill="1" applyBorder="1" applyAlignment="1">
      <alignment horizontal="center" vertical="center"/>
    </xf>
    <xf numFmtId="9" fontId="22" fillId="5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14" fillId="0" borderId="0" xfId="0" applyFont="1"/>
    <xf numFmtId="0" fontId="15" fillId="9" borderId="0" xfId="0" applyFont="1" applyFill="1"/>
    <xf numFmtId="0" fontId="7" fillId="0" borderId="1" xfId="0" applyFont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/>
    </xf>
    <xf numFmtId="9" fontId="10" fillId="0" borderId="0" xfId="0" applyNumberFormat="1" applyFont="1"/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17" fillId="2" borderId="0" xfId="0" applyFont="1" applyFill="1" applyAlignment="1">
      <alignment horizontal="center" vertical="center"/>
    </xf>
    <xf numFmtId="0" fontId="18" fillId="0" borderId="0" xfId="0" applyFont="1"/>
    <xf numFmtId="0" fontId="19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left" indent="2"/>
    </xf>
    <xf numFmtId="0" fontId="0" fillId="0" borderId="0" xfId="0" applyAlignment="1">
      <alignment horizontal="left"/>
    </xf>
  </cellXfs>
  <cellStyles count="1">
    <cellStyle name="Normal" xfId="0" builtinId="0"/>
  </cellStyles>
  <dxfs count="4">
    <dxf>
      <font>
        <b/>
        <color rgb="FF1F4E78"/>
      </font>
      <fill>
        <patternFill patternType="solid">
          <fgColor rgb="FFDDEBF7"/>
          <bgColor rgb="FFDDEBF7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9C6500"/>
      </font>
      <fill>
        <patternFill patternType="solid">
          <fgColor rgb="FFFFEB9C"/>
          <bgColor rgb="FFFFEB9C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pt-BR"/>
              <a:t>📊 Distribuição por Status</a:t>
            </a:r>
          </a:p>
        </c:rich>
      </c:tx>
      <c:overlay val="1"/>
    </c:title>
    <c:autoTitleDeleted val="0"/>
    <c:plotArea>
      <c:layout/>
      <c:doughnutChart>
        <c:varyColors val="1"/>
        <c:ser>
          <c:idx val="0"/>
          <c:order val="0"/>
          <c:tx>
            <c:strRef>
              <c:f>Dashboard!$B$10</c:f>
              <c:strCache>
                <c:ptCount val="1"/>
                <c:pt idx="0">
                  <c:v>Quantidade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Dashboard!$A$11:$A$14</c:f>
              <c:strCache>
                <c:ptCount val="4"/>
                <c:pt idx="0">
                  <c:v>Em execução</c:v>
                </c:pt>
                <c:pt idx="1">
                  <c:v>Concluída</c:v>
                </c:pt>
                <c:pt idx="2">
                  <c:v>Planejada</c:v>
                </c:pt>
                <c:pt idx="3">
                  <c:v>Bloqueada</c:v>
                </c:pt>
              </c:strCache>
            </c:strRef>
          </c:cat>
          <c:val>
            <c:numRef>
              <c:f>Dashboard!$B$11:$B$14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2F-44ED-999F-15EC898FBB68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  <c:holeSize val="10"/>
      </c:doughnut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9</xdr:row>
      <xdr:rowOff>0</xdr:rowOff>
    </xdr:from>
    <xdr:ext cx="576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"/>
  <sheetViews>
    <sheetView tabSelected="1" workbookViewId="0">
      <selection activeCell="H4" sqref="H4"/>
    </sheetView>
  </sheetViews>
  <sheetFormatPr defaultRowHeight="14.4" x14ac:dyDescent="0.3"/>
  <cols>
    <col min="1" max="1" width="5" customWidth="1"/>
    <col min="2" max="2" width="30" customWidth="1"/>
    <col min="3" max="3" width="14" customWidth="1"/>
    <col min="4" max="4" width="25" customWidth="1"/>
    <col min="5" max="6" width="12" customWidth="1"/>
    <col min="7" max="7" width="11" customWidth="1"/>
    <col min="8" max="8" width="13" customWidth="1"/>
    <col min="9" max="11" width="10" customWidth="1"/>
    <col min="12" max="12" width="12" customWidth="1"/>
    <col min="13" max="13" width="16" customWidth="1"/>
    <col min="14" max="14" width="12" customWidth="1"/>
    <col min="15" max="15" width="11" customWidth="1"/>
    <col min="16" max="16" width="12" customWidth="1"/>
  </cols>
  <sheetData>
    <row r="1" spans="1:16" ht="30" customHeight="1" x14ac:dyDescent="0.3">
      <c r="A1" s="36" t="s">
        <v>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</row>
    <row r="2" spans="1:16" ht="15.6" x14ac:dyDescent="0.3">
      <c r="A2" s="38" t="s">
        <v>1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</row>
    <row r="3" spans="1:16" ht="25.05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</row>
    <row r="4" spans="1:16" ht="28.05" customHeight="1" x14ac:dyDescent="0.3">
      <c r="A4" s="2">
        <f>COUNTA(A6:A100)-COUNTIF(A6:A100,"")</f>
        <v>-89</v>
      </c>
      <c r="B4" s="2">
        <f>COUNTIF(C6:C100,"Em execução")</f>
        <v>0</v>
      </c>
      <c r="C4" s="2">
        <f>COUNTIF(C6:C100,"Concluída")</f>
        <v>0</v>
      </c>
      <c r="D4" s="2">
        <f>COUNTIF(C6:C100,"Planejada")</f>
        <v>0</v>
      </c>
      <c r="E4" s="2">
        <f ca="1">COUNTIF(L6:L100,"🔴 Alto")</f>
        <v>0</v>
      </c>
      <c r="F4" s="3">
        <f>AVERAGE(G6:G100)</f>
        <v>0</v>
      </c>
      <c r="G4" s="4">
        <f>SUM(N6:N100)</f>
        <v>48000</v>
      </c>
      <c r="H4" s="3" t="e">
        <f ca="1">AVERAGE(O6:O100)</f>
        <v>#NAME?</v>
      </c>
    </row>
    <row r="5" spans="1:16" ht="34.950000000000003" customHeight="1" x14ac:dyDescent="0.3">
      <c r="A5" s="5" t="s">
        <v>10</v>
      </c>
      <c r="B5" s="5" t="s">
        <v>11</v>
      </c>
      <c r="C5" s="5" t="s">
        <v>12</v>
      </c>
      <c r="D5" s="5" t="s">
        <v>13</v>
      </c>
      <c r="E5" s="5" t="s">
        <v>14</v>
      </c>
      <c r="F5" s="5" t="s">
        <v>15</v>
      </c>
      <c r="G5" s="5" t="s">
        <v>16</v>
      </c>
      <c r="H5" s="5" t="s">
        <v>17</v>
      </c>
      <c r="I5" s="5" t="s">
        <v>18</v>
      </c>
      <c r="J5" s="5" t="s">
        <v>19</v>
      </c>
      <c r="K5" s="5" t="s">
        <v>20</v>
      </c>
      <c r="L5" s="5" t="s">
        <v>21</v>
      </c>
      <c r="M5" s="5" t="s">
        <v>22</v>
      </c>
      <c r="N5" s="5" t="s">
        <v>23</v>
      </c>
      <c r="O5" s="5" t="s">
        <v>24</v>
      </c>
      <c r="P5" s="5" t="s">
        <v>25</v>
      </c>
    </row>
    <row r="6" spans="1:16" x14ac:dyDescent="0.3">
      <c r="A6" s="6">
        <v>1</v>
      </c>
      <c r="B6" s="6" t="s">
        <v>26</v>
      </c>
      <c r="C6" s="6">
        <f>'Processo 1'!I2</f>
        <v>0</v>
      </c>
      <c r="D6" s="6" t="e">
        <f ca="1">'Processo 1'!C15</f>
        <v>#NAME?</v>
      </c>
      <c r="E6" s="7">
        <v>46001</v>
      </c>
      <c r="F6" s="7">
        <v>46053</v>
      </c>
      <c r="G6" s="8">
        <f>'Processo 1'!K2</f>
        <v>0</v>
      </c>
      <c r="H6" s="6">
        <f>'Processo 1'!L2</f>
        <v>0</v>
      </c>
      <c r="I6" s="6">
        <f>F6-E6</f>
        <v>52</v>
      </c>
      <c r="J6" s="6" t="e">
        <f ca="1">HOJE()-E6</f>
        <v>#NAME?</v>
      </c>
      <c r="K6" s="6" t="e">
        <f ca="1">F6-HOJE()</f>
        <v>#NAME?</v>
      </c>
      <c r="L6" s="6" t="e">
        <f ca="1">SE(K6&lt;0,"🔴 Alto",SE(K6&lt;3,"🟡 Médio","🟢 Baixo"))</f>
        <v>#NAME?</v>
      </c>
      <c r="M6" s="6" t="e">
        <f ca="1">SE(G6&gt;=0.8,"🟢 Excelente",SE(G6&gt;=0.6,"🟡 Bom",SE(G6&gt;=0.3,"🟠 Regular","🔴 Crítico")))</f>
        <v>#NAME?</v>
      </c>
      <c r="N6" s="9">
        <v>15000</v>
      </c>
      <c r="O6" s="8" t="e">
        <f ca="1">'Processo 1'!J4</f>
        <v>#NAME?</v>
      </c>
      <c r="P6" s="6" t="s">
        <v>27</v>
      </c>
    </row>
    <row r="7" spans="1:16" x14ac:dyDescent="0.3">
      <c r="A7" s="6">
        <v>2</v>
      </c>
      <c r="B7" s="6" t="s">
        <v>28</v>
      </c>
      <c r="C7" s="6">
        <f>'Processo 2'!I2</f>
        <v>0</v>
      </c>
      <c r="D7" s="6" t="e">
        <f ca="1">'Processo 2'!C15</f>
        <v>#NAME?</v>
      </c>
      <c r="E7" s="7">
        <v>45996</v>
      </c>
      <c r="F7" s="7">
        <v>46011</v>
      </c>
      <c r="G7" s="8">
        <f>'Processo 2'!K2</f>
        <v>0</v>
      </c>
      <c r="H7" s="6">
        <f>'Processo 2'!L2</f>
        <v>0</v>
      </c>
      <c r="I7" s="6">
        <f>F7-E7</f>
        <v>15</v>
      </c>
      <c r="J7" s="6" t="e">
        <f ca="1">HOJE()-E7</f>
        <v>#NAME?</v>
      </c>
      <c r="K7" s="6" t="e">
        <f ca="1">F7-HOJE()</f>
        <v>#NAME?</v>
      </c>
      <c r="L7" s="6" t="e">
        <f ca="1">SE(K7&lt;0,"🔴 Alto",SE(K7&lt;3,"🟡 Médio","🟢 Baixo"))</f>
        <v>#NAME?</v>
      </c>
      <c r="M7" s="6" t="e">
        <f ca="1">SE(G7&gt;=0.8,"🟢 Excelente",SE(G7&gt;=0.6,"🟡 Bom",SE(G7&gt;=0.3,"🟠 Regular","🔴 Crítico")))</f>
        <v>#NAME?</v>
      </c>
      <c r="N7" s="9">
        <v>8000</v>
      </c>
      <c r="O7" s="8" t="e">
        <f ca="1">'Processo 2'!J4</f>
        <v>#NAME?</v>
      </c>
      <c r="P7" s="6" t="s">
        <v>29</v>
      </c>
    </row>
    <row r="8" spans="1:16" x14ac:dyDescent="0.3">
      <c r="A8" s="6">
        <v>3</v>
      </c>
      <c r="B8" s="6" t="s">
        <v>30</v>
      </c>
      <c r="C8" s="6">
        <f>'Processo 3'!I2</f>
        <v>0</v>
      </c>
      <c r="D8" s="6" t="e">
        <f ca="1">'Processo 3'!C15</f>
        <v>#NAME?</v>
      </c>
      <c r="E8" s="7">
        <v>46006</v>
      </c>
      <c r="F8" s="7">
        <v>46068</v>
      </c>
      <c r="G8" s="8">
        <f>'Processo 3'!K2</f>
        <v>0</v>
      </c>
      <c r="H8" s="6">
        <f>'Processo 3'!L2</f>
        <v>0</v>
      </c>
      <c r="I8" s="6">
        <f>F8-E8</f>
        <v>62</v>
      </c>
      <c r="J8" s="6" t="e">
        <f ca="1">HOJE()-E8</f>
        <v>#NAME?</v>
      </c>
      <c r="K8" s="6" t="e">
        <f ca="1">F8-HOJE()</f>
        <v>#NAME?</v>
      </c>
      <c r="L8" s="6" t="e">
        <f ca="1">SE(K8&lt;0,"🔴 Alto",SE(K8&lt;3,"🟡 Médio","🟢 Baixo"))</f>
        <v>#NAME?</v>
      </c>
      <c r="M8" s="6" t="e">
        <f ca="1">SE(G8&gt;=0.8,"🟢 Excelente",SE(G8&gt;=0.6,"🟡 Bom",SE(G8&gt;=0.3,"🟠 Regular","🔴 Crítico")))</f>
        <v>#NAME?</v>
      </c>
      <c r="N8" s="9">
        <v>25000</v>
      </c>
      <c r="O8" s="8" t="e">
        <f ca="1">'Processo 3'!J4</f>
        <v>#NAME?</v>
      </c>
      <c r="P8" s="6" t="s">
        <v>31</v>
      </c>
    </row>
  </sheetData>
  <mergeCells count="2">
    <mergeCell ref="A1:P1"/>
    <mergeCell ref="A2:P2"/>
  </mergeCells>
  <conditionalFormatting sqref="C6:C100">
    <cfRule type="cellIs" dxfId="3" priority="1" operator="equal">
      <formula>"Concluída"</formula>
    </cfRule>
    <cfRule type="cellIs" dxfId="2" priority="2" operator="equal">
      <formula>"Em execução"</formula>
    </cfRule>
    <cfRule type="cellIs" dxfId="1" priority="3" operator="equal">
      <formula>"Bloqueada"</formula>
    </cfRule>
    <cfRule type="cellIs" dxfId="0" priority="4" operator="equal">
      <formula>"Planejada"</formula>
    </cfRule>
  </conditionalFormatting>
  <conditionalFormatting sqref="G6:G100">
    <cfRule type="dataBar" priority="5">
      <dataBar>
        <cfvo type="num" val="0"/>
        <cfvo type="num" val="1"/>
        <color rgb="FF4472C4"/>
      </dataBar>
    </cfRule>
  </conditionalFormatting>
  <conditionalFormatting sqref="H6:H100">
    <cfRule type="iconSet" priority="7">
      <iconSet iconSet="3Symbols">
        <cfvo type="num" val="0"/>
        <cfvo type="num" val="33"/>
        <cfvo type="num" val="67"/>
      </iconSet>
    </cfRule>
  </conditionalFormatting>
  <conditionalFormatting sqref="K6:K100">
    <cfRule type="colorScale" priority="6">
      <colorScale>
        <cfvo type="num" val="-10"/>
        <cfvo type="num" val="0"/>
        <cfvo type="num" val="20"/>
        <color rgb="FFF8696B"/>
        <color rgb="FFFFEB84"/>
        <color rgb="FF63BE7B"/>
      </colorScale>
    </cfRule>
  </conditionalFormatting>
  <dataValidations count="1">
    <dataValidation type="list" sqref="C6:C100" xr:uid="{00000000-0002-0000-0000-000000000000}">
      <formula1>"Planejada,Em execução,Concluída,Cancelada,Bloqueada"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5"/>
  <sheetViews>
    <sheetView workbookViewId="0">
      <selection sqref="A1:A2"/>
    </sheetView>
  </sheetViews>
  <sheetFormatPr defaultRowHeight="14.4" x14ac:dyDescent="0.3"/>
  <cols>
    <col min="1" max="1" width="18" customWidth="1"/>
    <col min="2" max="2" width="14" customWidth="1"/>
    <col min="3" max="3" width="20" customWidth="1"/>
    <col min="4" max="5" width="11" customWidth="1"/>
    <col min="6" max="6" width="22" customWidth="1"/>
    <col min="7" max="8" width="11" customWidth="1"/>
    <col min="9" max="10" width="9" customWidth="1"/>
    <col min="11" max="11" width="11" customWidth="1"/>
    <col min="12" max="12" width="30" customWidth="1"/>
  </cols>
  <sheetData>
    <row r="1" spans="1:12" ht="34.950000000000003" customHeight="1" x14ac:dyDescent="0.3">
      <c r="A1" s="49" t="s">
        <v>32</v>
      </c>
      <c r="B1" s="42" t="s">
        <v>33</v>
      </c>
      <c r="C1" s="39" t="s">
        <v>34</v>
      </c>
      <c r="D1" s="37"/>
      <c r="E1" s="37"/>
      <c r="F1" s="37"/>
      <c r="G1" s="37"/>
      <c r="H1" s="37"/>
      <c r="I1" s="45" t="s">
        <v>35</v>
      </c>
      <c r="J1" s="48" t="s">
        <v>36</v>
      </c>
      <c r="K1" s="43" t="s">
        <v>37</v>
      </c>
      <c r="L1" s="46" t="s">
        <v>38</v>
      </c>
    </row>
    <row r="2" spans="1:12" ht="34.950000000000003" customHeight="1" x14ac:dyDescent="0.3">
      <c r="A2" s="37"/>
      <c r="B2" s="37"/>
      <c r="C2" s="37"/>
      <c r="D2" s="37"/>
      <c r="E2" s="37"/>
      <c r="F2" s="37"/>
      <c r="G2" s="37"/>
      <c r="H2" s="37"/>
      <c r="I2" s="37"/>
      <c r="J2" s="37"/>
      <c r="K2" s="44"/>
      <c r="L2" s="47"/>
    </row>
    <row r="3" spans="1:12" x14ac:dyDescent="0.3">
      <c r="A3" s="11" t="s">
        <v>39</v>
      </c>
      <c r="B3" s="12" t="s">
        <v>40</v>
      </c>
      <c r="C3" s="11" t="s">
        <v>41</v>
      </c>
      <c r="D3" s="13" t="s">
        <v>42</v>
      </c>
      <c r="E3" s="11" t="s">
        <v>43</v>
      </c>
      <c r="F3" s="12" t="s">
        <v>44</v>
      </c>
      <c r="G3" s="11" t="s">
        <v>45</v>
      </c>
      <c r="H3" s="14" t="e">
        <f ca="1">SE(K2&lt;0.3,"🔴 Alto",SE(K2&lt;0.7,"🟡 Médio","🟢 Baixo"))</f>
        <v>#NAME?</v>
      </c>
      <c r="I3" s="11" t="s">
        <v>46</v>
      </c>
      <c r="J3" s="15">
        <v>15000</v>
      </c>
      <c r="K3" s="11" t="s">
        <v>47</v>
      </c>
      <c r="L3" s="15" t="e">
        <f ca="1">SOMA(K8:K13)</f>
        <v>#NAME?</v>
      </c>
    </row>
    <row r="4" spans="1:12" x14ac:dyDescent="0.3">
      <c r="A4" s="11" t="s">
        <v>48</v>
      </c>
      <c r="B4" s="16">
        <v>46001</v>
      </c>
      <c r="C4" s="11" t="s">
        <v>49</v>
      </c>
      <c r="D4" s="16">
        <v>46053</v>
      </c>
      <c r="E4" s="11" t="s">
        <v>50</v>
      </c>
      <c r="F4" s="14">
        <f>D4-B4</f>
        <v>52</v>
      </c>
      <c r="G4" s="11" t="s">
        <v>51</v>
      </c>
      <c r="H4" s="14" t="e">
        <f ca="1">D4-HOJE()</f>
        <v>#NAME?</v>
      </c>
      <c r="I4" s="11" t="s">
        <v>52</v>
      </c>
      <c r="J4" s="17" t="e">
        <f ca="1">SE(J3=0,0,1-(L3/J3))</f>
        <v>#NAME?</v>
      </c>
      <c r="K4" s="11" t="s">
        <v>53</v>
      </c>
      <c r="L4" s="18" t="e">
        <f ca="1">TEXTOJUNTAR(", ",VERDADEIRO,ÚNICO(FILTRAR(C8:C13,C8:C13&lt;&gt;"")))</f>
        <v>#NAME?</v>
      </c>
    </row>
    <row r="7" spans="1:12" ht="31.95" customHeight="1" x14ac:dyDescent="0.3">
      <c r="A7" s="1" t="s">
        <v>54</v>
      </c>
      <c r="B7" s="1" t="s">
        <v>12</v>
      </c>
      <c r="C7" s="1" t="s">
        <v>55</v>
      </c>
      <c r="D7" s="1" t="s">
        <v>56</v>
      </c>
      <c r="E7" s="1" t="s">
        <v>57</v>
      </c>
      <c r="F7" s="1" t="s">
        <v>58</v>
      </c>
      <c r="G7" s="1" t="s">
        <v>59</v>
      </c>
      <c r="H7" s="1" t="s">
        <v>60</v>
      </c>
      <c r="I7" s="1" t="s">
        <v>61</v>
      </c>
      <c r="J7" s="1" t="s">
        <v>62</v>
      </c>
      <c r="K7" s="1" t="s">
        <v>63</v>
      </c>
      <c r="L7" s="1" t="s">
        <v>64</v>
      </c>
    </row>
    <row r="8" spans="1:12" ht="37.950000000000003" customHeight="1" x14ac:dyDescent="0.3">
      <c r="A8" s="10" t="s">
        <v>65</v>
      </c>
      <c r="B8" s="10" t="s">
        <v>66</v>
      </c>
      <c r="C8" s="10" t="s">
        <v>67</v>
      </c>
      <c r="D8" s="7">
        <v>46001</v>
      </c>
      <c r="E8" s="7">
        <v>46038</v>
      </c>
      <c r="F8" s="10" t="s">
        <v>68</v>
      </c>
      <c r="G8" s="10" t="s">
        <v>69</v>
      </c>
      <c r="H8" s="8">
        <v>0.7</v>
      </c>
      <c r="I8" s="6">
        <v>80</v>
      </c>
      <c r="J8" s="6">
        <v>56</v>
      </c>
      <c r="K8" s="9">
        <v>2800</v>
      </c>
      <c r="L8" s="10" t="s">
        <v>70</v>
      </c>
    </row>
    <row r="9" spans="1:12" ht="37.950000000000003" customHeight="1" x14ac:dyDescent="0.3">
      <c r="A9" s="10" t="s">
        <v>44</v>
      </c>
      <c r="B9" s="10" t="s">
        <v>66</v>
      </c>
      <c r="C9" s="10" t="s">
        <v>71</v>
      </c>
      <c r="D9" s="7">
        <v>46001</v>
      </c>
      <c r="E9" s="7">
        <v>46053</v>
      </c>
      <c r="F9" s="10" t="s">
        <v>72</v>
      </c>
      <c r="G9" s="10" t="s">
        <v>73</v>
      </c>
      <c r="H9" s="8">
        <v>0.6</v>
      </c>
      <c r="I9" s="6">
        <v>120</v>
      </c>
      <c r="J9" s="6">
        <v>72</v>
      </c>
      <c r="K9" s="9">
        <v>3600</v>
      </c>
      <c r="L9" s="10" t="s">
        <v>74</v>
      </c>
    </row>
    <row r="10" spans="1:12" ht="37.950000000000003" customHeight="1" x14ac:dyDescent="0.3">
      <c r="A10" s="10" t="s">
        <v>75</v>
      </c>
      <c r="B10" s="10" t="s">
        <v>76</v>
      </c>
      <c r="C10" s="10" t="s">
        <v>77</v>
      </c>
      <c r="D10" s="7">
        <v>46039</v>
      </c>
      <c r="E10" s="7">
        <v>46068</v>
      </c>
      <c r="F10" s="10" t="s">
        <v>78</v>
      </c>
      <c r="G10" s="10" t="s">
        <v>79</v>
      </c>
      <c r="H10" s="8">
        <v>0</v>
      </c>
      <c r="I10" s="6">
        <v>100</v>
      </c>
      <c r="J10" s="6">
        <v>0</v>
      </c>
      <c r="K10" s="9">
        <v>0</v>
      </c>
      <c r="L10" s="10" t="s">
        <v>80</v>
      </c>
    </row>
    <row r="11" spans="1:12" ht="37.950000000000003" customHeight="1" x14ac:dyDescent="0.3">
      <c r="A11" s="10" t="s">
        <v>81</v>
      </c>
      <c r="B11" s="10" t="s">
        <v>76</v>
      </c>
      <c r="C11" s="10" t="s">
        <v>82</v>
      </c>
      <c r="D11" s="7">
        <v>46054</v>
      </c>
      <c r="E11" s="7">
        <v>46081</v>
      </c>
      <c r="F11" s="10" t="s">
        <v>83</v>
      </c>
      <c r="G11" s="10" t="s">
        <v>84</v>
      </c>
      <c r="H11" s="8">
        <v>0</v>
      </c>
      <c r="I11" s="6">
        <v>80</v>
      </c>
      <c r="J11" s="6">
        <v>0</v>
      </c>
      <c r="K11" s="9">
        <v>0</v>
      </c>
      <c r="L11" s="10" t="s">
        <v>85</v>
      </c>
    </row>
    <row r="12" spans="1:12" ht="37.950000000000003" customHeight="1" x14ac:dyDescent="0.3">
      <c r="A12" s="10" t="s">
        <v>86</v>
      </c>
      <c r="B12" s="10" t="s">
        <v>76</v>
      </c>
      <c r="C12" s="10" t="s">
        <v>87</v>
      </c>
      <c r="D12" s="7">
        <v>46073</v>
      </c>
      <c r="E12" s="7">
        <v>46091</v>
      </c>
      <c r="F12" s="10" t="s">
        <v>88</v>
      </c>
      <c r="G12" s="10" t="s">
        <v>89</v>
      </c>
      <c r="H12" s="8">
        <v>0</v>
      </c>
      <c r="I12" s="6">
        <v>40</v>
      </c>
      <c r="J12" s="6">
        <v>0</v>
      </c>
      <c r="K12" s="9">
        <v>0</v>
      </c>
      <c r="L12" s="10" t="s">
        <v>90</v>
      </c>
    </row>
    <row r="13" spans="1:12" ht="37.950000000000003" customHeight="1" x14ac:dyDescent="0.3">
      <c r="A13" s="10" t="s">
        <v>91</v>
      </c>
      <c r="B13" s="10" t="s">
        <v>76</v>
      </c>
      <c r="C13" s="10" t="s">
        <v>92</v>
      </c>
      <c r="D13" s="7">
        <v>46082</v>
      </c>
      <c r="E13" s="7">
        <v>46112</v>
      </c>
      <c r="F13" s="10" t="s">
        <v>93</v>
      </c>
      <c r="G13" s="10" t="s">
        <v>94</v>
      </c>
      <c r="H13" s="8">
        <v>0</v>
      </c>
      <c r="I13" s="6">
        <v>60</v>
      </c>
      <c r="J13" s="6">
        <v>0</v>
      </c>
      <c r="K13" s="9">
        <v>0</v>
      </c>
      <c r="L13" s="10" t="s">
        <v>95</v>
      </c>
    </row>
    <row r="15" spans="1:12" x14ac:dyDescent="0.3">
      <c r="A15" s="40" t="s">
        <v>96</v>
      </c>
      <c r="B15" s="37"/>
      <c r="C15" s="41" t="e">
        <f ca="1">ÍNDICE(C8:C13,MODO(CORRESP(C8:C13,C8:C13,0),CORRESP(C8:C13,C8:C13,0)))</f>
        <v>#NAME?</v>
      </c>
      <c r="D15" s="37"/>
    </row>
  </sheetData>
  <mergeCells count="9">
    <mergeCell ref="L1:L2"/>
    <mergeCell ref="J1:J2"/>
    <mergeCell ref="A1:A2"/>
    <mergeCell ref="C1:H2"/>
    <mergeCell ref="A15:B15"/>
    <mergeCell ref="C15:D15"/>
    <mergeCell ref="B1:B2"/>
    <mergeCell ref="K1:K2"/>
    <mergeCell ref="I1:I2"/>
  </mergeCells>
  <conditionalFormatting sqref="H8:H20">
    <cfRule type="dataBar" priority="1">
      <dataBar>
        <cfvo type="num" val="0"/>
        <cfvo type="num" val="1"/>
        <color rgb="FF4472C4"/>
      </dataBar>
    </cfRule>
  </conditionalFormatting>
  <conditionalFormatting sqref="K2">
    <cfRule type="colorScale" priority="2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dataValidations count="1">
    <dataValidation type="list" sqref="B8:B20" xr:uid="{00000000-0002-0000-0100-000000000000}">
      <formula1>"Não iniciada,Em execução,Concluída,Bloqueada"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5"/>
  <sheetViews>
    <sheetView workbookViewId="0">
      <selection sqref="A1:A2"/>
    </sheetView>
  </sheetViews>
  <sheetFormatPr defaultRowHeight="14.4" x14ac:dyDescent="0.3"/>
  <cols>
    <col min="1" max="1" width="18" customWidth="1"/>
    <col min="2" max="2" width="14" customWidth="1"/>
    <col min="3" max="3" width="20" customWidth="1"/>
    <col min="4" max="5" width="11" customWidth="1"/>
    <col min="6" max="6" width="22" customWidth="1"/>
    <col min="7" max="8" width="11" customWidth="1"/>
    <col min="9" max="10" width="9" customWidth="1"/>
    <col min="11" max="11" width="11" customWidth="1"/>
    <col min="12" max="12" width="30" customWidth="1"/>
  </cols>
  <sheetData>
    <row r="1" spans="1:12" ht="34.950000000000003" customHeight="1" x14ac:dyDescent="0.3">
      <c r="A1" s="49" t="s">
        <v>97</v>
      </c>
      <c r="B1" s="42" t="s">
        <v>33</v>
      </c>
      <c r="C1" s="39" t="s">
        <v>98</v>
      </c>
      <c r="D1" s="37"/>
      <c r="E1" s="37"/>
      <c r="F1" s="37"/>
      <c r="G1" s="37"/>
      <c r="H1" s="37"/>
      <c r="I1" s="45" t="s">
        <v>35</v>
      </c>
      <c r="J1" s="48" t="s">
        <v>36</v>
      </c>
      <c r="K1" s="43" t="s">
        <v>37</v>
      </c>
      <c r="L1" s="46" t="s">
        <v>38</v>
      </c>
    </row>
    <row r="2" spans="1:12" ht="34.950000000000003" customHeight="1" x14ac:dyDescent="0.3">
      <c r="A2" s="37"/>
      <c r="B2" s="37"/>
      <c r="C2" s="37"/>
      <c r="D2" s="37"/>
      <c r="E2" s="37"/>
      <c r="F2" s="37"/>
      <c r="G2" s="37"/>
      <c r="H2" s="37"/>
      <c r="I2" s="37"/>
      <c r="J2" s="37"/>
      <c r="K2" s="44"/>
      <c r="L2" s="47"/>
    </row>
    <row r="3" spans="1:12" x14ac:dyDescent="0.3">
      <c r="A3" s="11" t="s">
        <v>39</v>
      </c>
      <c r="B3" s="12" t="s">
        <v>40</v>
      </c>
      <c r="C3" s="11" t="s">
        <v>41</v>
      </c>
      <c r="D3" s="19" t="s">
        <v>99</v>
      </c>
      <c r="E3" s="11" t="s">
        <v>43</v>
      </c>
      <c r="F3" s="12" t="s">
        <v>100</v>
      </c>
      <c r="G3" s="11" t="s">
        <v>45</v>
      </c>
      <c r="H3" s="14" t="e">
        <f ca="1">SE(K2&lt;0.3,"🔴 Alto",SE(K2&lt;0.7,"🟡 Médio","🟢 Baixo"))</f>
        <v>#NAME?</v>
      </c>
      <c r="I3" s="11" t="s">
        <v>46</v>
      </c>
      <c r="J3" s="15">
        <v>8000</v>
      </c>
      <c r="K3" s="11" t="s">
        <v>47</v>
      </c>
      <c r="L3" s="15" t="e">
        <f ca="1">SOMA(K8:K13)</f>
        <v>#NAME?</v>
      </c>
    </row>
    <row r="4" spans="1:12" x14ac:dyDescent="0.3">
      <c r="A4" s="11" t="s">
        <v>48</v>
      </c>
      <c r="B4" s="16">
        <v>45996</v>
      </c>
      <c r="C4" s="11" t="s">
        <v>49</v>
      </c>
      <c r="D4" s="16">
        <v>46011</v>
      </c>
      <c r="E4" s="11" t="s">
        <v>50</v>
      </c>
      <c r="F4" s="14">
        <f>D4-B4</f>
        <v>15</v>
      </c>
      <c r="G4" s="11" t="s">
        <v>51</v>
      </c>
      <c r="H4" s="14" t="e">
        <f ca="1">D4-HOJE()</f>
        <v>#NAME?</v>
      </c>
      <c r="I4" s="11" t="s">
        <v>52</v>
      </c>
      <c r="J4" s="17" t="e">
        <f ca="1">SE(J3=0,0,1-(L3/J3))</f>
        <v>#NAME?</v>
      </c>
      <c r="K4" s="11" t="s">
        <v>53</v>
      </c>
      <c r="L4" s="18" t="e">
        <f ca="1">TEXTOJUNTAR(", ",VERDADEIRO,ÚNICO(FILTRAR(C8:C13,C8:C13&lt;&gt;"")))</f>
        <v>#NAME?</v>
      </c>
    </row>
    <row r="7" spans="1:12" ht="31.95" customHeight="1" x14ac:dyDescent="0.3">
      <c r="A7" s="1" t="s">
        <v>54</v>
      </c>
      <c r="B7" s="1" t="s">
        <v>12</v>
      </c>
      <c r="C7" s="1" t="s">
        <v>55</v>
      </c>
      <c r="D7" s="1" t="s">
        <v>56</v>
      </c>
      <c r="E7" s="1" t="s">
        <v>57</v>
      </c>
      <c r="F7" s="1" t="s">
        <v>58</v>
      </c>
      <c r="G7" s="1" t="s">
        <v>59</v>
      </c>
      <c r="H7" s="1" t="s">
        <v>60</v>
      </c>
      <c r="I7" s="1" t="s">
        <v>61</v>
      </c>
      <c r="J7" s="1" t="s">
        <v>62</v>
      </c>
      <c r="K7" s="1" t="s">
        <v>63</v>
      </c>
      <c r="L7" s="1" t="s">
        <v>64</v>
      </c>
    </row>
    <row r="8" spans="1:12" ht="37.950000000000003" customHeight="1" x14ac:dyDescent="0.3">
      <c r="A8" s="10" t="s">
        <v>101</v>
      </c>
      <c r="B8" s="10" t="s">
        <v>66</v>
      </c>
      <c r="C8" s="10" t="s">
        <v>102</v>
      </c>
      <c r="D8" s="7">
        <v>45996</v>
      </c>
      <c r="E8" s="7">
        <v>46003</v>
      </c>
      <c r="F8" s="10" t="s">
        <v>103</v>
      </c>
      <c r="G8" s="10" t="s">
        <v>69</v>
      </c>
      <c r="H8" s="8">
        <v>0.8</v>
      </c>
      <c r="I8" s="6">
        <v>40</v>
      </c>
      <c r="J8" s="6">
        <v>32</v>
      </c>
      <c r="K8" s="9">
        <v>1600</v>
      </c>
      <c r="L8" s="10" t="s">
        <v>104</v>
      </c>
    </row>
    <row r="9" spans="1:12" ht="37.950000000000003" customHeight="1" x14ac:dyDescent="0.3">
      <c r="A9" s="10" t="s">
        <v>105</v>
      </c>
      <c r="B9" s="10" t="s">
        <v>66</v>
      </c>
      <c r="C9" s="10" t="s">
        <v>106</v>
      </c>
      <c r="D9" s="7">
        <v>45999</v>
      </c>
      <c r="E9" s="7">
        <v>46006</v>
      </c>
      <c r="F9" s="10" t="s">
        <v>107</v>
      </c>
      <c r="G9" s="10" t="s">
        <v>73</v>
      </c>
      <c r="H9" s="8">
        <v>0.6</v>
      </c>
      <c r="I9" s="6">
        <v>30</v>
      </c>
      <c r="J9" s="6">
        <v>18</v>
      </c>
      <c r="K9" s="9">
        <v>900</v>
      </c>
      <c r="L9" s="10" t="s">
        <v>108</v>
      </c>
    </row>
    <row r="10" spans="1:12" ht="37.950000000000003" customHeight="1" x14ac:dyDescent="0.3">
      <c r="A10" s="10" t="s">
        <v>109</v>
      </c>
      <c r="B10" s="10" t="s">
        <v>76</v>
      </c>
      <c r="C10" s="10" t="s">
        <v>110</v>
      </c>
      <c r="D10" s="7">
        <v>46004</v>
      </c>
      <c r="E10" s="7">
        <v>46009</v>
      </c>
      <c r="F10" s="10" t="s">
        <v>111</v>
      </c>
      <c r="G10" s="10" t="s">
        <v>112</v>
      </c>
      <c r="H10" s="8">
        <v>0</v>
      </c>
      <c r="I10" s="6">
        <v>50</v>
      </c>
      <c r="J10" s="6">
        <v>0</v>
      </c>
      <c r="K10" s="9">
        <v>0</v>
      </c>
      <c r="L10" s="10" t="s">
        <v>113</v>
      </c>
    </row>
    <row r="11" spans="1:12" ht="37.950000000000003" customHeight="1" x14ac:dyDescent="0.3">
      <c r="A11" s="10" t="s">
        <v>114</v>
      </c>
      <c r="B11" s="10" t="s">
        <v>76</v>
      </c>
      <c r="C11" s="10" t="s">
        <v>115</v>
      </c>
      <c r="D11" s="7">
        <v>46007</v>
      </c>
      <c r="E11" s="7">
        <v>46010</v>
      </c>
      <c r="F11" s="10" t="s">
        <v>88</v>
      </c>
      <c r="G11" s="10" t="s">
        <v>84</v>
      </c>
      <c r="H11" s="8">
        <v>0</v>
      </c>
      <c r="I11" s="6">
        <v>20</v>
      </c>
      <c r="J11" s="6">
        <v>0</v>
      </c>
      <c r="K11" s="9">
        <v>0</v>
      </c>
      <c r="L11" s="10" t="s">
        <v>116</v>
      </c>
    </row>
    <row r="12" spans="1:12" ht="37.950000000000003" customHeight="1" x14ac:dyDescent="0.3">
      <c r="A12" s="10" t="s">
        <v>117</v>
      </c>
      <c r="B12" s="10" t="s">
        <v>76</v>
      </c>
      <c r="C12" s="10" t="s">
        <v>118</v>
      </c>
      <c r="D12" s="7">
        <v>46010</v>
      </c>
      <c r="E12" s="7">
        <v>46011</v>
      </c>
      <c r="F12" s="10" t="s">
        <v>119</v>
      </c>
      <c r="G12" s="10" t="s">
        <v>89</v>
      </c>
      <c r="H12" s="8">
        <v>0</v>
      </c>
      <c r="I12" s="6">
        <v>10</v>
      </c>
      <c r="J12" s="6">
        <v>0</v>
      </c>
      <c r="K12" s="9">
        <v>0</v>
      </c>
      <c r="L12" s="10" t="s">
        <v>120</v>
      </c>
    </row>
    <row r="13" spans="1:12" ht="37.950000000000003" customHeight="1" x14ac:dyDescent="0.3">
      <c r="A13" s="10" t="s">
        <v>121</v>
      </c>
      <c r="B13" s="10" t="s">
        <v>76</v>
      </c>
      <c r="C13" s="10" t="s">
        <v>122</v>
      </c>
      <c r="D13" s="7">
        <v>46011</v>
      </c>
      <c r="E13" s="7">
        <v>46011</v>
      </c>
      <c r="F13" s="10" t="s">
        <v>123</v>
      </c>
      <c r="G13" s="10" t="s">
        <v>94</v>
      </c>
      <c r="H13" s="8">
        <v>0</v>
      </c>
      <c r="I13" s="6">
        <v>15</v>
      </c>
      <c r="J13" s="6">
        <v>0</v>
      </c>
      <c r="K13" s="9">
        <v>0</v>
      </c>
      <c r="L13" s="10" t="s">
        <v>124</v>
      </c>
    </row>
    <row r="15" spans="1:12" x14ac:dyDescent="0.3">
      <c r="A15" s="40" t="s">
        <v>96</v>
      </c>
      <c r="B15" s="37"/>
      <c r="C15" s="41" t="e">
        <f ca="1">ÍNDICE(C8:C13,MODO(CORRESP(C8:C13,C8:C13,0),CORRESP(C8:C13,C8:C13,0)))</f>
        <v>#NAME?</v>
      </c>
      <c r="D15" s="37"/>
    </row>
  </sheetData>
  <mergeCells count="9">
    <mergeCell ref="L1:L2"/>
    <mergeCell ref="J1:J2"/>
    <mergeCell ref="A1:A2"/>
    <mergeCell ref="C1:H2"/>
    <mergeCell ref="A15:B15"/>
    <mergeCell ref="C15:D15"/>
    <mergeCell ref="B1:B2"/>
    <mergeCell ref="K1:K2"/>
    <mergeCell ref="I1:I2"/>
  </mergeCells>
  <conditionalFormatting sqref="H8:H20">
    <cfRule type="dataBar" priority="1">
      <dataBar>
        <cfvo type="num" val="0"/>
        <cfvo type="num" val="1"/>
        <color rgb="FF4472C4"/>
      </dataBar>
    </cfRule>
  </conditionalFormatting>
  <conditionalFormatting sqref="K2">
    <cfRule type="colorScale" priority="2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dataValidations count="1">
    <dataValidation type="list" sqref="B8:B20" xr:uid="{00000000-0002-0000-0200-000000000000}">
      <formula1>"Não iniciada,Em execução,Concluída,Bloqueada"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5"/>
  <sheetViews>
    <sheetView workbookViewId="0">
      <selection sqref="A1:A2"/>
    </sheetView>
  </sheetViews>
  <sheetFormatPr defaultRowHeight="14.4" x14ac:dyDescent="0.3"/>
  <cols>
    <col min="1" max="1" width="18" customWidth="1"/>
    <col min="2" max="2" width="14" customWidth="1"/>
    <col min="3" max="3" width="20" customWidth="1"/>
    <col min="4" max="5" width="11" customWidth="1"/>
    <col min="6" max="6" width="22" customWidth="1"/>
    <col min="7" max="8" width="11" customWidth="1"/>
    <col min="9" max="10" width="9" customWidth="1"/>
    <col min="11" max="11" width="11" customWidth="1"/>
    <col min="12" max="12" width="30" customWidth="1"/>
  </cols>
  <sheetData>
    <row r="1" spans="1:12" ht="34.950000000000003" customHeight="1" x14ac:dyDescent="0.3">
      <c r="A1" s="49" t="s">
        <v>125</v>
      </c>
      <c r="B1" s="42" t="s">
        <v>33</v>
      </c>
      <c r="C1" s="39" t="s">
        <v>126</v>
      </c>
      <c r="D1" s="37"/>
      <c r="E1" s="37"/>
      <c r="F1" s="37"/>
      <c r="G1" s="37"/>
      <c r="H1" s="37"/>
      <c r="I1" s="45" t="s">
        <v>35</v>
      </c>
      <c r="J1" s="48" t="s">
        <v>36</v>
      </c>
      <c r="K1" s="43" t="s">
        <v>37</v>
      </c>
      <c r="L1" s="46" t="s">
        <v>38</v>
      </c>
    </row>
    <row r="2" spans="1:12" ht="34.950000000000003" customHeight="1" x14ac:dyDescent="0.3">
      <c r="A2" s="37"/>
      <c r="B2" s="37"/>
      <c r="C2" s="37"/>
      <c r="D2" s="37"/>
      <c r="E2" s="37"/>
      <c r="F2" s="37"/>
      <c r="G2" s="37"/>
      <c r="H2" s="37"/>
      <c r="I2" s="37"/>
      <c r="J2" s="37"/>
      <c r="K2" s="44"/>
      <c r="L2" s="47"/>
    </row>
    <row r="3" spans="1:12" x14ac:dyDescent="0.3">
      <c r="A3" s="11" t="s">
        <v>39</v>
      </c>
      <c r="B3" s="12" t="s">
        <v>40</v>
      </c>
      <c r="C3" s="11" t="s">
        <v>41</v>
      </c>
      <c r="D3" s="20" t="s">
        <v>127</v>
      </c>
      <c r="E3" s="11" t="s">
        <v>43</v>
      </c>
      <c r="F3" s="12" t="s">
        <v>128</v>
      </c>
      <c r="G3" s="11" t="s">
        <v>45</v>
      </c>
      <c r="H3" s="14" t="e">
        <f ca="1">SE(K2&lt;0.3,"🔴 Alto",SE(K2&lt;0.7,"🟡 Médio","🟢 Baixo"))</f>
        <v>#NAME?</v>
      </c>
      <c r="I3" s="11" t="s">
        <v>46</v>
      </c>
      <c r="J3" s="15">
        <v>25000</v>
      </c>
      <c r="K3" s="11" t="s">
        <v>47</v>
      </c>
      <c r="L3" s="15" t="e">
        <f ca="1">SOMA(K8:K13)</f>
        <v>#NAME?</v>
      </c>
    </row>
    <row r="4" spans="1:12" x14ac:dyDescent="0.3">
      <c r="A4" s="11" t="s">
        <v>48</v>
      </c>
      <c r="B4" s="16">
        <v>46006</v>
      </c>
      <c r="C4" s="11" t="s">
        <v>49</v>
      </c>
      <c r="D4" s="16">
        <v>46068</v>
      </c>
      <c r="E4" s="11" t="s">
        <v>50</v>
      </c>
      <c r="F4" s="14">
        <f>D4-B4</f>
        <v>62</v>
      </c>
      <c r="G4" s="11" t="s">
        <v>51</v>
      </c>
      <c r="H4" s="14" t="e">
        <f ca="1">D4-HOJE()</f>
        <v>#NAME?</v>
      </c>
      <c r="I4" s="11" t="s">
        <v>52</v>
      </c>
      <c r="J4" s="17" t="e">
        <f ca="1">SE(J3=0,0,1-(L3/J3))</f>
        <v>#NAME?</v>
      </c>
      <c r="K4" s="11" t="s">
        <v>53</v>
      </c>
      <c r="L4" s="18" t="e">
        <f ca="1">TEXTOJUNTAR(", ",VERDADEIRO,ÚNICO(FILTRAR(C8:C13,C8:C13&lt;&gt;"")))</f>
        <v>#NAME?</v>
      </c>
    </row>
    <row r="7" spans="1:12" ht="31.95" customHeight="1" x14ac:dyDescent="0.3">
      <c r="A7" s="1" t="s">
        <v>54</v>
      </c>
      <c r="B7" s="1" t="s">
        <v>12</v>
      </c>
      <c r="C7" s="1" t="s">
        <v>55</v>
      </c>
      <c r="D7" s="1" t="s">
        <v>56</v>
      </c>
      <c r="E7" s="1" t="s">
        <v>57</v>
      </c>
      <c r="F7" s="1" t="s">
        <v>58</v>
      </c>
      <c r="G7" s="1" t="s">
        <v>59</v>
      </c>
      <c r="H7" s="1" t="s">
        <v>60</v>
      </c>
      <c r="I7" s="1" t="s">
        <v>61</v>
      </c>
      <c r="J7" s="1" t="s">
        <v>62</v>
      </c>
      <c r="K7" s="1" t="s">
        <v>63</v>
      </c>
      <c r="L7" s="1" t="s">
        <v>64</v>
      </c>
    </row>
    <row r="8" spans="1:12" ht="37.950000000000003" customHeight="1" x14ac:dyDescent="0.3">
      <c r="A8" s="10" t="s">
        <v>129</v>
      </c>
      <c r="B8" s="10" t="s">
        <v>130</v>
      </c>
      <c r="C8" s="10" t="s">
        <v>131</v>
      </c>
      <c r="D8" s="7">
        <v>46006</v>
      </c>
      <c r="E8" s="7">
        <v>46019</v>
      </c>
      <c r="F8" s="10" t="s">
        <v>132</v>
      </c>
      <c r="G8" s="10" t="s">
        <v>69</v>
      </c>
      <c r="H8" s="8">
        <v>0.2</v>
      </c>
      <c r="I8" s="6">
        <v>60</v>
      </c>
      <c r="J8" s="6">
        <v>12</v>
      </c>
      <c r="K8" s="9">
        <v>600</v>
      </c>
      <c r="L8" s="10" t="s">
        <v>133</v>
      </c>
    </row>
    <row r="9" spans="1:12" ht="37.950000000000003" customHeight="1" x14ac:dyDescent="0.3">
      <c r="A9" s="10" t="s">
        <v>134</v>
      </c>
      <c r="B9" s="10" t="s">
        <v>76</v>
      </c>
      <c r="C9" s="10" t="s">
        <v>135</v>
      </c>
      <c r="D9" s="7">
        <v>46011</v>
      </c>
      <c r="E9" s="7">
        <v>46032</v>
      </c>
      <c r="F9" s="10" t="s">
        <v>136</v>
      </c>
      <c r="G9" s="10" t="s">
        <v>73</v>
      </c>
      <c r="H9" s="8">
        <v>0</v>
      </c>
      <c r="I9" s="6">
        <v>40</v>
      </c>
      <c r="J9" s="6">
        <v>0</v>
      </c>
      <c r="K9" s="9">
        <v>0</v>
      </c>
      <c r="L9" s="10" t="s">
        <v>137</v>
      </c>
    </row>
    <row r="10" spans="1:12" ht="37.950000000000003" customHeight="1" x14ac:dyDescent="0.3">
      <c r="A10" s="10" t="s">
        <v>138</v>
      </c>
      <c r="B10" s="10" t="s">
        <v>76</v>
      </c>
      <c r="C10" s="10" t="s">
        <v>139</v>
      </c>
      <c r="D10" s="7">
        <v>46033</v>
      </c>
      <c r="E10" s="7">
        <v>46053</v>
      </c>
      <c r="F10" s="10" t="s">
        <v>140</v>
      </c>
      <c r="G10" s="10" t="s">
        <v>112</v>
      </c>
      <c r="H10" s="8">
        <v>0</v>
      </c>
      <c r="I10" s="6">
        <v>120</v>
      </c>
      <c r="J10" s="6">
        <v>0</v>
      </c>
      <c r="K10" s="9">
        <v>0</v>
      </c>
      <c r="L10" s="10" t="s">
        <v>141</v>
      </c>
    </row>
    <row r="11" spans="1:12" ht="37.950000000000003" customHeight="1" x14ac:dyDescent="0.3">
      <c r="A11" s="10" t="s">
        <v>142</v>
      </c>
      <c r="B11" s="10" t="s">
        <v>76</v>
      </c>
      <c r="C11" s="10" t="s">
        <v>143</v>
      </c>
      <c r="D11" s="7">
        <v>46047</v>
      </c>
      <c r="E11" s="7">
        <v>46058</v>
      </c>
      <c r="F11" s="10" t="s">
        <v>144</v>
      </c>
      <c r="G11" s="10" t="s">
        <v>84</v>
      </c>
      <c r="H11" s="8">
        <v>0</v>
      </c>
      <c r="I11" s="6">
        <v>80</v>
      </c>
      <c r="J11" s="6">
        <v>0</v>
      </c>
      <c r="K11" s="9">
        <v>0</v>
      </c>
      <c r="L11" s="10" t="s">
        <v>145</v>
      </c>
    </row>
    <row r="12" spans="1:12" ht="37.950000000000003" customHeight="1" x14ac:dyDescent="0.3">
      <c r="A12" s="10" t="s">
        <v>146</v>
      </c>
      <c r="B12" s="10" t="s">
        <v>76</v>
      </c>
      <c r="C12" s="10" t="s">
        <v>147</v>
      </c>
      <c r="D12" s="7">
        <v>46054</v>
      </c>
      <c r="E12" s="7">
        <v>46063</v>
      </c>
      <c r="F12" s="10" t="s">
        <v>148</v>
      </c>
      <c r="G12" s="10" t="s">
        <v>89</v>
      </c>
      <c r="H12" s="8">
        <v>0</v>
      </c>
      <c r="I12" s="6">
        <v>50</v>
      </c>
      <c r="J12" s="6">
        <v>0</v>
      </c>
      <c r="K12" s="9">
        <v>0</v>
      </c>
      <c r="L12" s="10" t="s">
        <v>149</v>
      </c>
    </row>
    <row r="13" spans="1:12" ht="37.950000000000003" customHeight="1" x14ac:dyDescent="0.3">
      <c r="A13" s="10" t="s">
        <v>150</v>
      </c>
      <c r="B13" s="10" t="s">
        <v>76</v>
      </c>
      <c r="C13" s="10" t="s">
        <v>151</v>
      </c>
      <c r="D13" s="7">
        <v>46064</v>
      </c>
      <c r="E13" s="7">
        <v>46068</v>
      </c>
      <c r="F13" s="10" t="s">
        <v>152</v>
      </c>
      <c r="G13" s="10" t="s">
        <v>94</v>
      </c>
      <c r="H13" s="8">
        <v>0</v>
      </c>
      <c r="I13" s="6">
        <v>30</v>
      </c>
      <c r="J13" s="6">
        <v>0</v>
      </c>
      <c r="K13" s="9">
        <v>0</v>
      </c>
      <c r="L13" s="10" t="s">
        <v>153</v>
      </c>
    </row>
    <row r="15" spans="1:12" x14ac:dyDescent="0.3">
      <c r="A15" s="40" t="s">
        <v>96</v>
      </c>
      <c r="B15" s="37"/>
      <c r="C15" s="41" t="e">
        <f ca="1">ÍNDICE(C8:C13,MODO(CORRESP(C8:C13,C8:C13,0),CORRESP(C8:C13,C8:C13,0)))</f>
        <v>#NAME?</v>
      </c>
      <c r="D15" s="37"/>
    </row>
  </sheetData>
  <mergeCells count="9">
    <mergeCell ref="L1:L2"/>
    <mergeCell ref="J1:J2"/>
    <mergeCell ref="A1:A2"/>
    <mergeCell ref="C1:H2"/>
    <mergeCell ref="A15:B15"/>
    <mergeCell ref="C15:D15"/>
    <mergeCell ref="B1:B2"/>
    <mergeCell ref="K1:K2"/>
    <mergeCell ref="I1:I2"/>
  </mergeCells>
  <conditionalFormatting sqref="H8:H20">
    <cfRule type="dataBar" priority="1">
      <dataBar>
        <cfvo type="num" val="0"/>
        <cfvo type="num" val="1"/>
        <color rgb="FF4472C4"/>
      </dataBar>
    </cfRule>
  </conditionalFormatting>
  <conditionalFormatting sqref="K2">
    <cfRule type="colorScale" priority="2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dataValidations count="1">
    <dataValidation type="list" sqref="B8:B20" xr:uid="{00000000-0002-0000-0300-000000000000}">
      <formula1>"Não iniciada,Em execução,Concluída,Bloqueada"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4"/>
  <sheetViews>
    <sheetView workbookViewId="0">
      <selection sqref="A1:H2"/>
    </sheetView>
  </sheetViews>
  <sheetFormatPr defaultRowHeight="14.4" x14ac:dyDescent="0.3"/>
  <cols>
    <col min="1" max="8" width="16" customWidth="1"/>
  </cols>
  <sheetData>
    <row r="1" spans="1:8" x14ac:dyDescent="0.3">
      <c r="A1" s="50" t="s">
        <v>154</v>
      </c>
      <c r="B1" s="37"/>
      <c r="C1" s="37"/>
      <c r="D1" s="37"/>
      <c r="E1" s="37"/>
      <c r="F1" s="37"/>
      <c r="G1" s="37"/>
      <c r="H1" s="37"/>
    </row>
    <row r="2" spans="1:8" x14ac:dyDescent="0.3">
      <c r="A2" s="37"/>
      <c r="B2" s="37"/>
      <c r="C2" s="37"/>
      <c r="D2" s="37"/>
      <c r="E2" s="37"/>
      <c r="F2" s="37"/>
      <c r="G2" s="37"/>
      <c r="H2" s="37"/>
    </row>
    <row r="3" spans="1:8" x14ac:dyDescent="0.3">
      <c r="A3" s="51" t="s">
        <v>155</v>
      </c>
      <c r="B3" s="37"/>
      <c r="C3" s="37"/>
      <c r="D3" s="37"/>
      <c r="E3" s="37"/>
      <c r="F3" s="37"/>
      <c r="G3" s="37"/>
      <c r="H3" s="37"/>
    </row>
    <row r="5" spans="1:8" ht="18" x14ac:dyDescent="0.35">
      <c r="A5" s="52" t="s">
        <v>156</v>
      </c>
      <c r="B5" s="37"/>
      <c r="C5" s="37"/>
      <c r="D5" s="37"/>
      <c r="E5" s="37"/>
      <c r="F5" s="37"/>
      <c r="G5" s="37"/>
      <c r="H5" s="37"/>
    </row>
    <row r="6" spans="1:8" x14ac:dyDescent="0.3">
      <c r="A6" s="21" t="s">
        <v>2</v>
      </c>
      <c r="B6" s="22" t="s">
        <v>3</v>
      </c>
      <c r="C6" s="23" t="s">
        <v>4</v>
      </c>
      <c r="D6" s="24" t="s">
        <v>157</v>
      </c>
      <c r="E6" s="25" t="s">
        <v>158</v>
      </c>
      <c r="F6" s="26" t="s">
        <v>159</v>
      </c>
      <c r="G6" s="27" t="s">
        <v>160</v>
      </c>
      <c r="H6" s="23" t="s">
        <v>161</v>
      </c>
    </row>
    <row r="7" spans="1:8" ht="18" x14ac:dyDescent="0.3">
      <c r="A7" s="28" t="e">
        <f ca="1">CONT.VALORES('Página inicial'!A6:A100)</f>
        <v>#NAME?</v>
      </c>
      <c r="B7" s="29" t="e">
        <f ca="1">CONT.SE('Página inicial'!C:C,"Em execução")</f>
        <v>#NAME?</v>
      </c>
      <c r="C7" s="30" t="e">
        <f ca="1">CONT.SE('Página inicial'!C:C,"Concluída")</f>
        <v>#NAME?</v>
      </c>
      <c r="D7" s="31" t="e">
        <f ca="1">CONT.SE('Página inicial'!L:L,"*Alto*")</f>
        <v>#NAME?</v>
      </c>
      <c r="E7" s="32" t="e">
        <f ca="1">TEXTO(D6/B6,"0%")</f>
        <v>#NAME?</v>
      </c>
      <c r="F7" s="33" t="e">
        <f ca="1">MÉDIA('Página inicial'!G6:G20)</f>
        <v>#NAME?</v>
      </c>
      <c r="G7" s="34" t="e">
        <f ca="1">SOMA('Página inicial'!N6:N20)</f>
        <v>#NAME?</v>
      </c>
      <c r="H7" s="35" t="e">
        <f ca="1">MÉDIA('Página inicial'!O6:O20)</f>
        <v>#NAME?</v>
      </c>
    </row>
    <row r="10" spans="1:8" x14ac:dyDescent="0.3">
      <c r="A10" t="s">
        <v>12</v>
      </c>
      <c r="B10" t="s">
        <v>162</v>
      </c>
    </row>
    <row r="11" spans="1:8" x14ac:dyDescent="0.3">
      <c r="A11" t="s">
        <v>66</v>
      </c>
      <c r="B11" t="e">
        <f ca="1">CONT.SE('Página inicial'!C:C,"Em execução")</f>
        <v>#NAME?</v>
      </c>
    </row>
    <row r="12" spans="1:8" x14ac:dyDescent="0.3">
      <c r="A12" t="s">
        <v>163</v>
      </c>
      <c r="B12" t="e">
        <f ca="1">CONT.SE('Página inicial'!C:C,"Concluída")</f>
        <v>#NAME?</v>
      </c>
    </row>
    <row r="13" spans="1:8" x14ac:dyDescent="0.3">
      <c r="A13" t="s">
        <v>130</v>
      </c>
      <c r="B13" t="e">
        <f ca="1">CONT.SE('Página inicial'!C:C,"Planejada")</f>
        <v>#NAME?</v>
      </c>
    </row>
    <row r="14" spans="1:8" x14ac:dyDescent="0.3">
      <c r="A14" t="s">
        <v>164</v>
      </c>
      <c r="B14" t="e">
        <f ca="1">CONT.SE('Página inicial'!C:C,"Bloqueada")</f>
        <v>#NAME?</v>
      </c>
    </row>
  </sheetData>
  <mergeCells count="3">
    <mergeCell ref="A1:H2"/>
    <mergeCell ref="A3:H3"/>
    <mergeCell ref="A5:H5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0"/>
  <sheetViews>
    <sheetView workbookViewId="0">
      <selection sqref="A1:D1"/>
    </sheetView>
  </sheetViews>
  <sheetFormatPr defaultRowHeight="14.4" x14ac:dyDescent="0.3"/>
  <cols>
    <col min="1" max="1" width="80" customWidth="1"/>
  </cols>
  <sheetData>
    <row r="1" spans="1:4" ht="21" x14ac:dyDescent="0.3">
      <c r="A1" s="36" t="s">
        <v>165</v>
      </c>
      <c r="B1" s="37"/>
      <c r="C1" s="37"/>
      <c r="D1" s="37"/>
    </row>
    <row r="2" spans="1:4" x14ac:dyDescent="0.3">
      <c r="A2" s="55"/>
      <c r="B2" s="37"/>
      <c r="C2" s="37"/>
      <c r="D2" s="37"/>
    </row>
    <row r="3" spans="1:4" ht="15.6" x14ac:dyDescent="0.3">
      <c r="A3" s="53" t="s">
        <v>166</v>
      </c>
      <c r="B3" s="37"/>
      <c r="C3" s="37"/>
      <c r="D3" s="37"/>
    </row>
    <row r="4" spans="1:4" x14ac:dyDescent="0.3">
      <c r="A4" s="55"/>
      <c r="B4" s="37"/>
      <c r="C4" s="37"/>
      <c r="D4" s="37"/>
    </row>
    <row r="5" spans="1:4" ht="15.6" x14ac:dyDescent="0.3">
      <c r="A5" s="53" t="s">
        <v>167</v>
      </c>
      <c r="B5" s="37"/>
      <c r="C5" s="37"/>
      <c r="D5" s="37"/>
    </row>
    <row r="6" spans="1:4" x14ac:dyDescent="0.3">
      <c r="A6" s="55"/>
      <c r="B6" s="37"/>
      <c r="C6" s="37"/>
      <c r="D6" s="37"/>
    </row>
    <row r="7" spans="1:4" ht="15.6" x14ac:dyDescent="0.3">
      <c r="A7" s="53" t="s">
        <v>168</v>
      </c>
      <c r="B7" s="37"/>
      <c r="C7" s="37"/>
      <c r="D7" s="37"/>
    </row>
    <row r="8" spans="1:4" x14ac:dyDescent="0.3">
      <c r="A8" s="54" t="s">
        <v>169</v>
      </c>
      <c r="B8" s="37"/>
      <c r="C8" s="37"/>
      <c r="D8" s="37"/>
    </row>
    <row r="9" spans="1:4" x14ac:dyDescent="0.3">
      <c r="A9" s="54" t="s">
        <v>170</v>
      </c>
      <c r="B9" s="37"/>
      <c r="C9" s="37"/>
      <c r="D9" s="37"/>
    </row>
    <row r="10" spans="1:4" x14ac:dyDescent="0.3">
      <c r="A10" s="54" t="s">
        <v>171</v>
      </c>
      <c r="B10" s="37"/>
      <c r="C10" s="37"/>
      <c r="D10" s="37"/>
    </row>
    <row r="11" spans="1:4" x14ac:dyDescent="0.3">
      <c r="A11" s="54" t="s">
        <v>172</v>
      </c>
      <c r="B11" s="37"/>
      <c r="C11" s="37"/>
      <c r="D11" s="37"/>
    </row>
    <row r="12" spans="1:4" x14ac:dyDescent="0.3">
      <c r="A12" s="54" t="s">
        <v>173</v>
      </c>
      <c r="B12" s="37"/>
      <c r="C12" s="37"/>
      <c r="D12" s="37"/>
    </row>
    <row r="13" spans="1:4" x14ac:dyDescent="0.3">
      <c r="A13" s="54" t="s">
        <v>174</v>
      </c>
      <c r="B13" s="37"/>
      <c r="C13" s="37"/>
      <c r="D13" s="37"/>
    </row>
    <row r="14" spans="1:4" x14ac:dyDescent="0.3">
      <c r="A14" s="54" t="s">
        <v>175</v>
      </c>
      <c r="B14" s="37"/>
      <c r="C14" s="37"/>
      <c r="D14" s="37"/>
    </row>
    <row r="15" spans="1:4" x14ac:dyDescent="0.3">
      <c r="A15" s="55"/>
      <c r="B15" s="37"/>
      <c r="C15" s="37"/>
      <c r="D15" s="37"/>
    </row>
    <row r="16" spans="1:4" ht="15.6" x14ac:dyDescent="0.3">
      <c r="A16" s="53" t="s">
        <v>176</v>
      </c>
      <c r="B16" s="37"/>
      <c r="C16" s="37"/>
      <c r="D16" s="37"/>
    </row>
    <row r="17" spans="1:4" x14ac:dyDescent="0.3">
      <c r="A17" s="54" t="s">
        <v>177</v>
      </c>
      <c r="B17" s="37"/>
      <c r="C17" s="37"/>
      <c r="D17" s="37"/>
    </row>
    <row r="18" spans="1:4" x14ac:dyDescent="0.3">
      <c r="A18" s="54" t="s">
        <v>178</v>
      </c>
      <c r="B18" s="37"/>
      <c r="C18" s="37"/>
      <c r="D18" s="37"/>
    </row>
    <row r="19" spans="1:4" x14ac:dyDescent="0.3">
      <c r="A19" s="54" t="s">
        <v>179</v>
      </c>
      <c r="B19" s="37"/>
      <c r="C19" s="37"/>
      <c r="D19" s="37"/>
    </row>
    <row r="20" spans="1:4" x14ac:dyDescent="0.3">
      <c r="A20" s="54" t="s">
        <v>180</v>
      </c>
      <c r="B20" s="37"/>
      <c r="C20" s="37"/>
      <c r="D20" s="37"/>
    </row>
    <row r="21" spans="1:4" x14ac:dyDescent="0.3">
      <c r="A21" s="54" t="s">
        <v>181</v>
      </c>
      <c r="B21" s="37"/>
      <c r="C21" s="37"/>
      <c r="D21" s="37"/>
    </row>
    <row r="22" spans="1:4" x14ac:dyDescent="0.3">
      <c r="A22" s="54" t="s">
        <v>182</v>
      </c>
      <c r="B22" s="37"/>
      <c r="C22" s="37"/>
      <c r="D22" s="37"/>
    </row>
    <row r="23" spans="1:4" x14ac:dyDescent="0.3">
      <c r="A23" s="54" t="s">
        <v>183</v>
      </c>
      <c r="B23" s="37"/>
      <c r="C23" s="37"/>
      <c r="D23" s="37"/>
    </row>
    <row r="24" spans="1:4" x14ac:dyDescent="0.3">
      <c r="A24" s="55"/>
      <c r="B24" s="37"/>
      <c r="C24" s="37"/>
      <c r="D24" s="37"/>
    </row>
    <row r="25" spans="1:4" ht="15.6" x14ac:dyDescent="0.3">
      <c r="A25" s="53" t="s">
        <v>184</v>
      </c>
      <c r="B25" s="37"/>
      <c r="C25" s="37"/>
      <c r="D25" s="37"/>
    </row>
    <row r="26" spans="1:4" x14ac:dyDescent="0.3">
      <c r="A26" s="54" t="s">
        <v>185</v>
      </c>
      <c r="B26" s="37"/>
      <c r="C26" s="37"/>
      <c r="D26" s="37"/>
    </row>
    <row r="27" spans="1:4" x14ac:dyDescent="0.3">
      <c r="A27" s="54" t="s">
        <v>186</v>
      </c>
      <c r="B27" s="37"/>
      <c r="C27" s="37"/>
      <c r="D27" s="37"/>
    </row>
    <row r="28" spans="1:4" x14ac:dyDescent="0.3">
      <c r="A28" s="54" t="s">
        <v>187</v>
      </c>
      <c r="B28" s="37"/>
      <c r="C28" s="37"/>
      <c r="D28" s="37"/>
    </row>
    <row r="29" spans="1:4" x14ac:dyDescent="0.3">
      <c r="A29" s="54" t="s">
        <v>188</v>
      </c>
      <c r="B29" s="37"/>
      <c r="C29" s="37"/>
      <c r="D29" s="37"/>
    </row>
    <row r="30" spans="1:4" x14ac:dyDescent="0.3">
      <c r="A30" s="54" t="s">
        <v>189</v>
      </c>
      <c r="B30" s="37"/>
      <c r="C30" s="37"/>
      <c r="D30" s="37"/>
    </row>
    <row r="31" spans="1:4" x14ac:dyDescent="0.3">
      <c r="A31" s="54" t="s">
        <v>190</v>
      </c>
      <c r="B31" s="37"/>
      <c r="C31" s="37"/>
      <c r="D31" s="37"/>
    </row>
    <row r="32" spans="1:4" x14ac:dyDescent="0.3">
      <c r="A32" s="55"/>
      <c r="B32" s="37"/>
      <c r="C32" s="37"/>
      <c r="D32" s="37"/>
    </row>
    <row r="33" spans="1:4" ht="15.6" x14ac:dyDescent="0.3">
      <c r="A33" s="53" t="s">
        <v>191</v>
      </c>
      <c r="B33" s="37"/>
      <c r="C33" s="37"/>
      <c r="D33" s="37"/>
    </row>
    <row r="34" spans="1:4" x14ac:dyDescent="0.3">
      <c r="A34" s="54" t="s">
        <v>192</v>
      </c>
      <c r="B34" s="37"/>
      <c r="C34" s="37"/>
      <c r="D34" s="37"/>
    </row>
    <row r="35" spans="1:4" x14ac:dyDescent="0.3">
      <c r="A35" s="54" t="s">
        <v>193</v>
      </c>
      <c r="B35" s="37"/>
      <c r="C35" s="37"/>
      <c r="D35" s="37"/>
    </row>
    <row r="36" spans="1:4" x14ac:dyDescent="0.3">
      <c r="A36" s="54" t="s">
        <v>194</v>
      </c>
      <c r="B36" s="37"/>
      <c r="C36" s="37"/>
      <c r="D36" s="37"/>
    </row>
    <row r="37" spans="1:4" x14ac:dyDescent="0.3">
      <c r="A37" s="54" t="s">
        <v>195</v>
      </c>
      <c r="B37" s="37"/>
      <c r="C37" s="37"/>
      <c r="D37" s="37"/>
    </row>
    <row r="38" spans="1:4" x14ac:dyDescent="0.3">
      <c r="A38" s="54" t="s">
        <v>196</v>
      </c>
      <c r="B38" s="37"/>
      <c r="C38" s="37"/>
      <c r="D38" s="37"/>
    </row>
    <row r="39" spans="1:4" x14ac:dyDescent="0.3">
      <c r="A39" s="55"/>
      <c r="B39" s="37"/>
      <c r="C39" s="37"/>
      <c r="D39" s="37"/>
    </row>
    <row r="40" spans="1:4" ht="15.6" x14ac:dyDescent="0.3">
      <c r="A40" s="53" t="s">
        <v>197</v>
      </c>
      <c r="B40" s="37"/>
      <c r="C40" s="37"/>
      <c r="D40" s="37"/>
    </row>
  </sheetData>
  <mergeCells count="40">
    <mergeCell ref="A1:D1"/>
    <mergeCell ref="A6:D6"/>
    <mergeCell ref="A7:D7"/>
    <mergeCell ref="A25:D25"/>
    <mergeCell ref="A16:D16"/>
    <mergeCell ref="A18:D18"/>
    <mergeCell ref="A12:D12"/>
    <mergeCell ref="A3:D3"/>
    <mergeCell ref="A21:D21"/>
    <mergeCell ref="A2:D2"/>
    <mergeCell ref="A14:D14"/>
    <mergeCell ref="A40:D40"/>
    <mergeCell ref="A9:D9"/>
    <mergeCell ref="A31:D31"/>
    <mergeCell ref="A34:D34"/>
    <mergeCell ref="A30:D30"/>
    <mergeCell ref="A39:D39"/>
    <mergeCell ref="A15:D15"/>
    <mergeCell ref="A24:D24"/>
    <mergeCell ref="A11:D11"/>
    <mergeCell ref="A36:D36"/>
    <mergeCell ref="A37:D37"/>
    <mergeCell ref="A27:D27"/>
    <mergeCell ref="A26:D26"/>
    <mergeCell ref="A33:D33"/>
    <mergeCell ref="A32:D32"/>
    <mergeCell ref="A35:D35"/>
    <mergeCell ref="A4:D4"/>
    <mergeCell ref="A20:D20"/>
    <mergeCell ref="A38:D38"/>
    <mergeCell ref="A29:D29"/>
    <mergeCell ref="A19:D19"/>
    <mergeCell ref="A10:D10"/>
    <mergeCell ref="A28:D28"/>
    <mergeCell ref="A13:D13"/>
    <mergeCell ref="A5:D5"/>
    <mergeCell ref="A17:D17"/>
    <mergeCell ref="A23:D23"/>
    <mergeCell ref="A8:D8"/>
    <mergeCell ref="A22:D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Página inicial</vt:lpstr>
      <vt:lpstr>Processo 1</vt:lpstr>
      <vt:lpstr>Processo 2</vt:lpstr>
      <vt:lpstr>Processo 3</vt:lpstr>
      <vt:lpstr>Dashboard</vt:lpstr>
      <vt:lpstr>Instruções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Charles André Ribeiro Xavier</cp:lastModifiedBy>
  <dcterms:created xsi:type="dcterms:W3CDTF">2025-12-11T01:45:55Z</dcterms:created>
  <dcterms:modified xsi:type="dcterms:W3CDTF">2025-12-11T02:10:08Z</dcterms:modified>
</cp:coreProperties>
</file>