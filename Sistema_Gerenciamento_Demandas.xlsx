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0" documentId="11_9B459AAD0760F25E41590BE10BEEE761A2D8B8BC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ntrole de Demandas" sheetId="1" r:id="rId1"/>
    <sheet name="Dashboard" sheetId="2" r:id="rId2"/>
    <sheet name="Relatórios" sheetId="3" r:id="rId3"/>
    <sheet name="Configurações" sheetId="4" r:id="rId4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G5" i="3"/>
  <c r="F5" i="3"/>
  <c r="E5" i="3"/>
  <c r="D5" i="3"/>
  <c r="C5" i="3"/>
  <c r="B5" i="3"/>
  <c r="B30" i="2"/>
  <c r="B29" i="2"/>
  <c r="B28" i="2"/>
  <c r="B27" i="2"/>
  <c r="B26" i="2"/>
  <c r="B25" i="2"/>
  <c r="B20" i="2"/>
  <c r="B19" i="2"/>
  <c r="B18" i="2"/>
  <c r="B17" i="2"/>
  <c r="B13" i="2"/>
  <c r="B12" i="2"/>
  <c r="B11" i="2"/>
  <c r="B10" i="2"/>
  <c r="B9" i="2"/>
  <c r="I5" i="2"/>
  <c r="G5" i="2"/>
  <c r="E5" i="2"/>
  <c r="C5" i="2"/>
  <c r="A5" i="2"/>
  <c r="J6" i="1"/>
  <c r="I6" i="1"/>
  <c r="J5" i="1"/>
  <c r="I5" i="1"/>
  <c r="J4" i="1"/>
  <c r="I4" i="1"/>
  <c r="J3" i="1"/>
  <c r="I3" i="1"/>
  <c r="J2" i="1"/>
  <c r="A5" i="3" s="1"/>
  <c r="I2" i="1"/>
</calcChain>
</file>

<file path=xl/sharedStrings.xml><?xml version="1.0" encoding="utf-8"?>
<sst xmlns="http://schemas.openxmlformats.org/spreadsheetml/2006/main" count="117" uniqueCount="67">
  <si>
    <t>ID</t>
  </si>
  <si>
    <t>Demanda</t>
  </si>
  <si>
    <t>Responsável</t>
  </si>
  <si>
    <t>Prioridade</t>
  </si>
  <si>
    <t>Status</t>
  </si>
  <si>
    <t>Data Abertura</t>
  </si>
  <si>
    <t>Prazo</t>
  </si>
  <si>
    <t>Data Conclusão</t>
  </si>
  <si>
    <t>Dias Decorridos</t>
  </si>
  <si>
    <t>Dias Restantes</t>
  </si>
  <si>
    <t>% Progresso</t>
  </si>
  <si>
    <t>Categoria</t>
  </si>
  <si>
    <t>Desenvolvimento do módulo de login</t>
  </si>
  <si>
    <t>João Silva</t>
  </si>
  <si>
    <t>Alta</t>
  </si>
  <si>
    <t>Em Andamento</t>
  </si>
  <si>
    <t>60%</t>
  </si>
  <si>
    <t>Desenvolvimento</t>
  </si>
  <si>
    <t>Correção de bugs no relatório</t>
  </si>
  <si>
    <t>Maria Santos</t>
  </si>
  <si>
    <t>Crítica</t>
  </si>
  <si>
    <t>80%</t>
  </si>
  <si>
    <t>Correção</t>
  </si>
  <si>
    <t>Implementar dashboard analytics</t>
  </si>
  <si>
    <t>Pedro Costa</t>
  </si>
  <si>
    <t>Média</t>
  </si>
  <si>
    <t>Planejada</t>
  </si>
  <si>
    <t>30%</t>
  </si>
  <si>
    <t>Atualização da documentação</t>
  </si>
  <si>
    <t>Ana Oliveira</t>
  </si>
  <si>
    <t>Baixa</t>
  </si>
  <si>
    <t>Concluída</t>
  </si>
  <si>
    <t>100%</t>
  </si>
  <si>
    <t>Documentação</t>
  </si>
  <si>
    <t>Teste de integração API</t>
  </si>
  <si>
    <t>Carlos Lima</t>
  </si>
  <si>
    <t>45%</t>
  </si>
  <si>
    <t>Teste</t>
  </si>
  <si>
    <t>📊 DASHBOARD - GERENCIAMENTO DE DEMANDAS</t>
  </si>
  <si>
    <t>Total de Demandas</t>
  </si>
  <si>
    <t>Concluídas</t>
  </si>
  <si>
    <t>Atrasadas</t>
  </si>
  <si>
    <t>Taxa de Conclusão</t>
  </si>
  <si>
    <t>Quantidade</t>
  </si>
  <si>
    <t>Cancelada</t>
  </si>
  <si>
    <t>Bloqueada</t>
  </si>
  <si>
    <t>Infraestrutura</t>
  </si>
  <si>
    <t>Análise</t>
  </si>
  <si>
    <t>📋 RELATÓRIOS E ANÁLISES</t>
  </si>
  <si>
    <t>⚠️ DEMANDAS ATRASADAS</t>
  </si>
  <si>
    <t>Dias de Atraso</t>
  </si>
  <si>
    <t>👤 RESUMO POR RESPONSÁVEL</t>
  </si>
  <si>
    <t>Total</t>
  </si>
  <si>
    <t>⚙️ CONFIGURAÇÕES DO SISTEMA</t>
  </si>
  <si>
    <t>Opção</t>
  </si>
  <si>
    <t>Valor</t>
  </si>
  <si>
    <t>Prioridades:</t>
  </si>
  <si>
    <t>Status:</t>
  </si>
  <si>
    <t>Categorias:</t>
  </si>
  <si>
    <t>📖 INSTRUÇÕES DE USO:</t>
  </si>
  <si>
    <t>1. Use a aba 'Controle de Demandas' para adicionar e gerenciar suas tarefas</t>
  </si>
  <si>
    <t>2. Preencha todos os campos obrigatórios (ID, Demanda, Responsável, etc.)</t>
  </si>
  <si>
    <t>3. Use as listas suspensas para Prioridade, Status e Categoria</t>
  </si>
  <si>
    <t>4. As fórmulas de Dias Decorridos e Dias Restantes são automáticas</t>
  </si>
  <si>
    <t>5. O Dashboard atualiza automaticamente conforme você adiciona demandas</t>
  </si>
  <si>
    <t>6. Cores no Status: Verde=Concluída, Amarelo=Em Andamento, Vermelho=Bloqueada</t>
  </si>
  <si>
    <t>7. Use a aba Relatórios para visualizar análises específicas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</si>
</sst>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0"/>
      <name val="Calibri"/>
    </font>
    <font>
      <b/>
      <sz val="14"/>
      <color rgb="FF366092"/>
      <name val="Calibri"/>
    </font>
    <font>
      <b/>
      <sz val="12"/>
      <name val="Calibri"/>
    </font>
    <font>
      <b/>
      <sz val="16"/>
      <color rgb="FFFFFFFF"/>
      <name val="Calibri"/>
    </font>
    <font>
      <b/>
      <sz val="13"/>
      <color rgb="FFC00000"/>
      <name val="Calibri"/>
    </font>
    <font>
      <b/>
      <sz val="11"/>
      <name val="Calibri"/>
    </font>
    <font>
      <b/>
      <sz val="13"/>
      <color rgb="FF366092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8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/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4">
    <dxf>
      <font>
        <color rgb="FF1F4E78"/>
      </font>
      <fill>
        <patternFill patternType="solid">
          <fgColor rgb="FFDDEBF7"/>
          <bgColor rgb="FFDDEBF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por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Dashboard!$A$9:$A$13</c:f>
              <c:strCache>
                <c:ptCount val="5"/>
                <c:pt idx="0">
                  <c:v>Planejada</c:v>
                </c:pt>
                <c:pt idx="1">
                  <c:v>Em Andamento</c:v>
                </c:pt>
                <c:pt idx="2">
                  <c:v>Concluída</c:v>
                </c:pt>
                <c:pt idx="3">
                  <c:v>Cancelada</c:v>
                </c:pt>
                <c:pt idx="4">
                  <c:v>Bloqueada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F-4983-94F5-506478086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Demandas por Prioridade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Dashboard!$A$17:$A$20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Média</c:v>
                </c:pt>
                <c:pt idx="3">
                  <c:v>Baixa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0-46EA-B121-C57BC04F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Prioridade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Demandas por Categoria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Dashboard!$A$25:$A$30</c:f>
              <c:strCache>
                <c:ptCount val="6"/>
                <c:pt idx="0">
                  <c:v>Desenvolvimento</c:v>
                </c:pt>
                <c:pt idx="1">
                  <c:v>Correção</c:v>
                </c:pt>
                <c:pt idx="2">
                  <c:v>Teste</c:v>
                </c:pt>
                <c:pt idx="3">
                  <c:v>Documentação</c:v>
                </c:pt>
                <c:pt idx="4">
                  <c:v>Infraestrutura</c:v>
                </c:pt>
                <c:pt idx="5">
                  <c:v>Análise</c:v>
                </c:pt>
              </c:strCache>
            </c:strRef>
          </c:cat>
          <c:val>
            <c:numRef>
              <c:f>Dashboard!$B$25:$B$30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F-41D3-94C4-57A74AF0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6" sqref="B6"/>
    </sheetView>
  </sheetViews>
  <sheetFormatPr defaultRowHeight="14.4" x14ac:dyDescent="0.3"/>
  <cols>
    <col min="1" max="1" width="8" customWidth="1"/>
    <col min="2" max="2" width="35" customWidth="1"/>
    <col min="3" max="3" width="20" customWidth="1"/>
    <col min="4" max="4" width="12" customWidth="1"/>
    <col min="5" max="10" width="15" customWidth="1"/>
    <col min="11" max="11" width="12" customWidth="1"/>
    <col min="1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45992</v>
      </c>
      <c r="G2" s="3">
        <v>46006</v>
      </c>
      <c r="H2" s="2"/>
      <c r="I2" s="2" t="e">
        <f ca="1">HOJE()-F2</f>
        <v>#NAME?</v>
      </c>
      <c r="J2" s="2" t="e">
        <f ca="1">G2-HOJE()</f>
        <v>#NAME?</v>
      </c>
      <c r="K2" s="2" t="s">
        <v>16</v>
      </c>
      <c r="L2" s="2" t="s">
        <v>17</v>
      </c>
    </row>
    <row r="3" spans="1:12" x14ac:dyDescent="0.3">
      <c r="A3" s="2">
        <v>2</v>
      </c>
      <c r="B3" s="2" t="s">
        <v>18</v>
      </c>
      <c r="C3" s="2" t="s">
        <v>19</v>
      </c>
      <c r="D3" s="2" t="s">
        <v>20</v>
      </c>
      <c r="E3" s="2" t="s">
        <v>15</v>
      </c>
      <c r="F3" s="3">
        <v>45996</v>
      </c>
      <c r="G3" s="3">
        <v>46003</v>
      </c>
      <c r="H3" s="2"/>
      <c r="I3" s="2" t="e">
        <f ca="1">HOJE()-F3</f>
        <v>#NAME?</v>
      </c>
      <c r="J3" s="2" t="e">
        <f ca="1">G3-HOJE()</f>
        <v>#NAME?</v>
      </c>
      <c r="K3" s="2" t="s">
        <v>21</v>
      </c>
      <c r="L3" s="2" t="s">
        <v>22</v>
      </c>
    </row>
    <row r="4" spans="1:12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3">
        <v>45999</v>
      </c>
      <c r="G4" s="3">
        <v>46011</v>
      </c>
      <c r="H4" s="2"/>
      <c r="I4" s="2" t="e">
        <f ca="1">HOJE()-F4</f>
        <v>#NAME?</v>
      </c>
      <c r="J4" s="2" t="e">
        <f ca="1">G4-HOJE()</f>
        <v>#NAME?</v>
      </c>
      <c r="K4" s="2" t="s">
        <v>27</v>
      </c>
      <c r="L4" s="2" t="s">
        <v>17</v>
      </c>
    </row>
    <row r="5" spans="1:12" x14ac:dyDescent="0.3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3">
        <v>45981</v>
      </c>
      <c r="G5" s="3">
        <v>45996</v>
      </c>
      <c r="H5" s="3">
        <v>45994</v>
      </c>
      <c r="I5" s="2" t="e">
        <f ca="1">HOJE()-F5</f>
        <v>#NAME?</v>
      </c>
      <c r="J5" s="2" t="e">
        <f ca="1">G5-HOJE()</f>
        <v>#NAME?</v>
      </c>
      <c r="K5" s="2" t="s">
        <v>32</v>
      </c>
      <c r="L5" s="2" t="s">
        <v>33</v>
      </c>
    </row>
    <row r="6" spans="1:12" x14ac:dyDescent="0.3">
      <c r="A6" s="2">
        <v>5</v>
      </c>
      <c r="B6" s="2" t="s">
        <v>34</v>
      </c>
      <c r="C6" s="2" t="s">
        <v>35</v>
      </c>
      <c r="D6" s="2" t="s">
        <v>14</v>
      </c>
      <c r="E6" s="2" t="s">
        <v>15</v>
      </c>
      <c r="F6" s="3">
        <v>45998</v>
      </c>
      <c r="G6" s="3">
        <v>46005</v>
      </c>
      <c r="H6" s="2"/>
      <c r="I6" s="2" t="e">
        <f ca="1">HOJE()-F6</f>
        <v>#NAME?</v>
      </c>
      <c r="J6" s="2" t="e">
        <f ca="1">G6-HOJE()</f>
        <v>#NAME?</v>
      </c>
      <c r="K6" s="2" t="s">
        <v>36</v>
      </c>
      <c r="L6" s="2" t="s">
        <v>37</v>
      </c>
    </row>
  </sheetData>
  <conditionalFormatting sqref="E2:E100">
    <cfRule type="cellIs" dxfId="3" priority="1" operator="equal">
      <formula>"Concluída"</formula>
    </cfRule>
    <cfRule type="cellIs" dxfId="2" priority="2" operator="equal">
      <formula>"Em Andamento"</formula>
    </cfRule>
    <cfRule type="cellIs" dxfId="1" priority="3" operator="equal">
      <formula>"Bloqueada"</formula>
    </cfRule>
    <cfRule type="cellIs" dxfId="0" priority="4" operator="equal">
      <formula>"Planejada"</formula>
    </cfRule>
  </conditionalFormatting>
  <dataValidations count="3">
    <dataValidation type="list" errorTitle="Entrada Inválida" error="Selecione uma prioridade válida" sqref="D2:D100" xr:uid="{00000000-0002-0000-0000-000000000000}">
      <formula1>"Crítica,Alta,Média,Baixa"</formula1>
    </dataValidation>
    <dataValidation type="list" errorTitle="Entrada Inválida" error="Selecione um status válido" sqref="E2:E100" xr:uid="{00000000-0002-0000-0000-000001000000}">
      <formula1>"Planejada,Em Andamento,Concluída,Cancelada,Bloqueada"</formula1>
    </dataValidation>
    <dataValidation type="list" errorTitle="Entrada Inválida" error="Selecione uma categoria válida" sqref="L2:L100" xr:uid="{00000000-0002-0000-0000-000002000000}">
      <formula1>"Desenvolvimento,Correção,Teste,Documentação,Infraestrutura,Análise"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A5" sqref="A5:B5"/>
    </sheetView>
  </sheetViews>
  <sheetFormatPr defaultRowHeight="14.4" x14ac:dyDescent="0.3"/>
  <cols>
    <col min="1" max="6" width="18" customWidth="1"/>
  </cols>
  <sheetData>
    <row r="1" spans="1:10" x14ac:dyDescent="0.3">
      <c r="A1" s="11" t="s">
        <v>38</v>
      </c>
      <c r="B1" s="12"/>
      <c r="C1" s="12"/>
      <c r="D1" s="12"/>
      <c r="E1" s="12"/>
      <c r="F1" s="12"/>
    </row>
    <row r="2" spans="1:10" x14ac:dyDescent="0.3">
      <c r="A2" s="12"/>
      <c r="B2" s="12"/>
      <c r="C2" s="12"/>
      <c r="D2" s="12"/>
      <c r="E2" s="12"/>
      <c r="F2" s="12"/>
    </row>
    <row r="4" spans="1:10" x14ac:dyDescent="0.3">
      <c r="A4" s="8" t="s">
        <v>39</v>
      </c>
      <c r="B4" s="9"/>
      <c r="C4" s="8" t="s">
        <v>15</v>
      </c>
      <c r="D4" s="9"/>
      <c r="E4" s="8" t="s">
        <v>40</v>
      </c>
      <c r="F4" s="9"/>
      <c r="G4" s="8" t="s">
        <v>41</v>
      </c>
      <c r="H4" s="9"/>
      <c r="I4" s="8" t="s">
        <v>42</v>
      </c>
      <c r="J4" s="9"/>
    </row>
    <row r="5" spans="1:10" ht="18" x14ac:dyDescent="0.3">
      <c r="A5" s="10" t="e">
        <f ca="1">CONT.VALORES('Controle de Demandas'!A2:A100)</f>
        <v>#NAME?</v>
      </c>
      <c r="B5" s="9"/>
      <c r="C5" s="10" t="e">
        <f ca="1">CONT.SE('Controle de Demandas'!E:E,"Em Andamento")</f>
        <v>#NAME?</v>
      </c>
      <c r="D5" s="9"/>
      <c r="E5" s="10" t="e">
        <f ca="1">CONT.SE('Controle de Demandas'!E:E,"Concluída")</f>
        <v>#NAME?</v>
      </c>
      <c r="F5" s="9"/>
      <c r="G5" s="10" t="e">
        <f ca="1">CONT.SE('Controle de Demandas'!J:J,"&lt;0")</f>
        <v>#NAME?</v>
      </c>
      <c r="H5" s="9"/>
      <c r="I5" s="10" t="e">
        <f ca="1">SE(B4=0,"0%",TEXTO(D4/B4,"0%"))</f>
        <v>#NAME?</v>
      </c>
      <c r="J5" s="9"/>
    </row>
    <row r="8" spans="1:10" ht="15.6" x14ac:dyDescent="0.3">
      <c r="A8" s="4" t="s">
        <v>4</v>
      </c>
      <c r="B8" s="4" t="s">
        <v>43</v>
      </c>
    </row>
    <row r="9" spans="1:10" x14ac:dyDescent="0.3">
      <c r="A9" t="s">
        <v>26</v>
      </c>
      <c r="B9" t="e">
        <f ca="1">CONT.SE('Controle de Demandas'!E:E,"Planejada")</f>
        <v>#NAME?</v>
      </c>
    </row>
    <row r="10" spans="1:10" x14ac:dyDescent="0.3">
      <c r="A10" t="s">
        <v>15</v>
      </c>
      <c r="B10" t="e">
        <f ca="1">CONT.SE('Controle de Demandas'!E:E,"Em Andamento")</f>
        <v>#NAME?</v>
      </c>
    </row>
    <row r="11" spans="1:10" x14ac:dyDescent="0.3">
      <c r="A11" t="s">
        <v>31</v>
      </c>
      <c r="B11" t="e">
        <f ca="1">CONT.SE('Controle de Demandas'!E:E,"Concluída")</f>
        <v>#NAME?</v>
      </c>
    </row>
    <row r="12" spans="1:10" x14ac:dyDescent="0.3">
      <c r="A12" t="s">
        <v>44</v>
      </c>
      <c r="B12" t="e">
        <f ca="1">CONT.SE('Controle de Demandas'!E:E,"Cancelada")</f>
        <v>#NAME?</v>
      </c>
    </row>
    <row r="13" spans="1:10" x14ac:dyDescent="0.3">
      <c r="A13" t="s">
        <v>45</v>
      </c>
      <c r="B13" t="e">
        <f ca="1">CONT.SE('Controle de Demandas'!E:E,"Bloqueada")</f>
        <v>#NAME?</v>
      </c>
    </row>
    <row r="16" spans="1:10" ht="15.6" x14ac:dyDescent="0.3">
      <c r="A16" s="4" t="s">
        <v>3</v>
      </c>
      <c r="B16" s="4" t="s">
        <v>43</v>
      </c>
    </row>
    <row r="17" spans="1:2" x14ac:dyDescent="0.3">
      <c r="A17" t="s">
        <v>20</v>
      </c>
      <c r="B17" t="e">
        <f ca="1">CONT.SE('Controle de Demandas'!D:D,"Crítica")</f>
        <v>#NAME?</v>
      </c>
    </row>
    <row r="18" spans="1:2" x14ac:dyDescent="0.3">
      <c r="A18" t="s">
        <v>14</v>
      </c>
      <c r="B18" t="e">
        <f ca="1">CONT.SE('Controle de Demandas'!D:D,"Alta")</f>
        <v>#NAME?</v>
      </c>
    </row>
    <row r="19" spans="1:2" x14ac:dyDescent="0.3">
      <c r="A19" t="s">
        <v>25</v>
      </c>
      <c r="B19" t="e">
        <f ca="1">CONT.SE('Controle de Demandas'!D:D,"Média")</f>
        <v>#NAME?</v>
      </c>
    </row>
    <row r="20" spans="1:2" x14ac:dyDescent="0.3">
      <c r="A20" t="s">
        <v>30</v>
      </c>
      <c r="B20" t="e">
        <f ca="1">CONT.SE('Controle de Demandas'!D:D,"Baixa")</f>
        <v>#NAME?</v>
      </c>
    </row>
    <row r="24" spans="1:2" ht="15.6" x14ac:dyDescent="0.3">
      <c r="A24" s="4" t="s">
        <v>11</v>
      </c>
      <c r="B24" s="4" t="s">
        <v>43</v>
      </c>
    </row>
    <row r="25" spans="1:2" x14ac:dyDescent="0.3">
      <c r="A25" t="s">
        <v>17</v>
      </c>
      <c r="B25" t="e">
        <f ca="1">CONT.SE('Controle de Demandas'!L:L,"Desenvolvimento")</f>
        <v>#NAME?</v>
      </c>
    </row>
    <row r="26" spans="1:2" x14ac:dyDescent="0.3">
      <c r="A26" t="s">
        <v>22</v>
      </c>
      <c r="B26" t="e">
        <f ca="1">CONT.SE('Controle de Demandas'!L:L,"Correção")</f>
        <v>#NAME?</v>
      </c>
    </row>
    <row r="27" spans="1:2" x14ac:dyDescent="0.3">
      <c r="A27" t="s">
        <v>37</v>
      </c>
      <c r="B27" t="e">
        <f ca="1">CONT.SE('Controle de Demandas'!L:L,"Teste")</f>
        <v>#NAME?</v>
      </c>
    </row>
    <row r="28" spans="1:2" x14ac:dyDescent="0.3">
      <c r="A28" t="s">
        <v>33</v>
      </c>
      <c r="B28" t="e">
        <f ca="1">CONT.SE('Controle de Demandas'!L:L,"Documentação")</f>
        <v>#NAME?</v>
      </c>
    </row>
    <row r="29" spans="1:2" x14ac:dyDescent="0.3">
      <c r="A29" t="s">
        <v>46</v>
      </c>
      <c r="B29" t="e">
        <f ca="1">CONT.SE('Controle de Demandas'!L:L,"Infraestrutura")</f>
        <v>#NAME?</v>
      </c>
    </row>
    <row r="30" spans="1:2" x14ac:dyDescent="0.3">
      <c r="A30" t="s">
        <v>47</v>
      </c>
      <c r="B30" t="e">
        <f ca="1">CONT.SE('Controle de Demandas'!L:L,"Análise")</f>
        <v>#NAME?</v>
      </c>
    </row>
  </sheetData>
  <mergeCells count="11">
    <mergeCell ref="A1:F2"/>
    <mergeCell ref="A5:B5"/>
    <mergeCell ref="E5:F5"/>
    <mergeCell ref="G5:H5"/>
    <mergeCell ref="I5:J5"/>
    <mergeCell ref="C4:D4"/>
    <mergeCell ref="A4:B4"/>
    <mergeCell ref="G4:H4"/>
    <mergeCell ref="E4:F4"/>
    <mergeCell ref="I4:J4"/>
    <mergeCell ref="C5:D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defaultRowHeight="14.4" x14ac:dyDescent="0.3"/>
  <cols>
    <col min="1" max="8" width="20" customWidth="1"/>
  </cols>
  <sheetData>
    <row r="1" spans="1:8" ht="21" x14ac:dyDescent="0.3">
      <c r="A1" s="15" t="s">
        <v>48</v>
      </c>
      <c r="B1" s="12"/>
      <c r="C1" s="12"/>
      <c r="D1" s="12"/>
      <c r="E1" s="12"/>
      <c r="F1" s="12"/>
      <c r="G1" s="12"/>
      <c r="H1" s="12"/>
    </row>
    <row r="3" spans="1:8" ht="17.399999999999999" x14ac:dyDescent="0.35">
      <c r="A3" s="14" t="s">
        <v>49</v>
      </c>
      <c r="B3" s="12"/>
      <c r="C3" s="12"/>
      <c r="D3" s="12"/>
      <c r="E3" s="12"/>
      <c r="F3" s="12"/>
      <c r="G3" s="12"/>
      <c r="H3" s="12"/>
    </row>
    <row r="4" spans="1:8" x14ac:dyDescent="0.3">
      <c r="A4" s="5" t="s">
        <v>0</v>
      </c>
      <c r="B4" s="5" t="s">
        <v>1</v>
      </c>
      <c r="C4" s="5" t="s">
        <v>2</v>
      </c>
      <c r="D4" s="5" t="s">
        <v>6</v>
      </c>
      <c r="E4" s="5" t="s">
        <v>50</v>
      </c>
      <c r="F4" s="5" t="s">
        <v>4</v>
      </c>
      <c r="G4" s="5" t="s">
        <v>3</v>
      </c>
    </row>
    <row r="5" spans="1:8" x14ac:dyDescent="0.3">
      <c r="A5" t="e">
        <f ca="1">SE('Controle de Demandas'!J2&lt;0,'Controle de Demandas'!A2,"")</f>
        <v>#NAME?</v>
      </c>
      <c r="B5" t="e">
        <f ca="1">SE('Controle de Demandas'!J2&lt;0,'Controle de Demandas'!B2,"")</f>
        <v>#NAME?</v>
      </c>
      <c r="C5" t="e">
        <f ca="1">SE('Controle de Demandas'!J2&lt;0,'Controle de Demandas'!C2,"")</f>
        <v>#NAME?</v>
      </c>
      <c r="D5" t="e">
        <f ca="1">SE('Controle de Demandas'!J2&lt;0,'Controle de Demandas'!G2,"")</f>
        <v>#NAME?</v>
      </c>
      <c r="E5" t="e">
        <f ca="1">SE('Controle de Demandas'!J2&lt;0,ABS('Controle de Demandas'!J2),"")</f>
        <v>#NAME?</v>
      </c>
      <c r="F5" t="e">
        <f ca="1">SE('Controle de Demandas'!J2&lt;0,'Controle de Demandas'!E2,"")</f>
        <v>#NAME?</v>
      </c>
      <c r="G5" t="e">
        <f ca="1">SE('Controle de Demandas'!J2&lt;0,'Controle de Demandas'!D2,"")</f>
        <v>#NAME?</v>
      </c>
    </row>
    <row r="10" spans="1:8" ht="17.399999999999999" x14ac:dyDescent="0.35">
      <c r="A10" s="13" t="s">
        <v>51</v>
      </c>
      <c r="B10" s="12"/>
      <c r="C10" s="12"/>
      <c r="D10" s="12"/>
    </row>
    <row r="11" spans="1:8" x14ac:dyDescent="0.3">
      <c r="A11" s="6" t="s">
        <v>2</v>
      </c>
      <c r="B11" s="6" t="s">
        <v>52</v>
      </c>
      <c r="C11" s="6" t="s">
        <v>40</v>
      </c>
      <c r="D11" s="6" t="s">
        <v>15</v>
      </c>
    </row>
    <row r="12" spans="1:8" x14ac:dyDescent="0.3">
      <c r="A12" t="s">
        <v>13</v>
      </c>
      <c r="B12" t="e">
        <f ca="1">CONT.SE('Controle de Demandas'!C:C,"João Silva")</f>
        <v>#NAME?</v>
      </c>
      <c r="C12" t="e">
        <f ca="1">CONT.SES('Controle de Demandas'!C:C,"João Silva",'Controle de Demandas'!E:E,"Concluída")</f>
        <v>#NAME?</v>
      </c>
      <c r="D12" t="e">
        <f ca="1">CONT.SES('Controle de Demandas'!C:C,"João Silva",'Controle de Demandas'!E:E,"Em Andamento")</f>
        <v>#NAME?</v>
      </c>
    </row>
    <row r="13" spans="1:8" x14ac:dyDescent="0.3">
      <c r="A13" t="s">
        <v>19</v>
      </c>
      <c r="B13" t="e">
        <f ca="1">CONT.SE('Controle de Demandas'!C:C,"Maria Santos")</f>
        <v>#NAME?</v>
      </c>
      <c r="C13" t="e">
        <f ca="1">CONT.SES('Controle de Demandas'!C:C,"Maria Santos",'Controle de Demandas'!E:E,"Concluída")</f>
        <v>#NAME?</v>
      </c>
      <c r="D13" t="e">
        <f ca="1">CONT.SES('Controle de Demandas'!C:C,"Maria Santos",'Controle de Demandas'!E:E,"Em Andamento")</f>
        <v>#NAME?</v>
      </c>
    </row>
    <row r="14" spans="1:8" x14ac:dyDescent="0.3">
      <c r="A14" t="s">
        <v>24</v>
      </c>
      <c r="B14" t="e">
        <f ca="1">CONT.SE('Controle de Demandas'!C:C,"Pedro Costa")</f>
        <v>#NAME?</v>
      </c>
      <c r="C14" t="e">
        <f ca="1">CONT.SES('Controle de Demandas'!C:C,"Pedro Costa",'Controle de Demandas'!E:E,"Concluída")</f>
        <v>#NAME?</v>
      </c>
      <c r="D14" t="e">
        <f ca="1">CONT.SES('Controle de Demandas'!C:C,"Pedro Costa",'Controle de Demandas'!E:E,"Em Andamento")</f>
        <v>#NAME?</v>
      </c>
    </row>
    <row r="15" spans="1:8" x14ac:dyDescent="0.3">
      <c r="A15" t="s">
        <v>29</v>
      </c>
      <c r="B15" t="e">
        <f ca="1">CONT.SE('Controle de Demandas'!C:C,"Ana Oliveira")</f>
        <v>#NAME?</v>
      </c>
      <c r="C15" t="e">
        <f ca="1">CONT.SES('Controle de Demandas'!C:C,"Ana Oliveira",'Controle de Demandas'!E:E,"Concluída")</f>
        <v>#NAME?</v>
      </c>
      <c r="D15" t="e">
        <f ca="1">CONT.SES('Controle de Demandas'!C:C,"Ana Oliveira",'Controle de Demandas'!E:E,"Em Andamento")</f>
        <v>#NAME?</v>
      </c>
    </row>
    <row r="16" spans="1:8" x14ac:dyDescent="0.3">
      <c r="A16" t="s">
        <v>35</v>
      </c>
      <c r="B16" t="e">
        <f ca="1">CONT.SE('Controle de Demandas'!C:C,"Carlos Lima")</f>
        <v>#NAME?</v>
      </c>
      <c r="C16" t="e">
        <f ca="1">CONT.SES('Controle de Demandas'!C:C,"Carlos Lima",'Controle de Demandas'!E:E,"Concluída")</f>
        <v>#NAME?</v>
      </c>
      <c r="D16" t="e">
        <f ca="1">CONT.SES('Controle de Demandas'!C:C,"Carlos Lima",'Controle de Demandas'!E:E,"Em Andamento")</f>
        <v>#NAME?</v>
      </c>
    </row>
  </sheetData>
  <mergeCells count="3">
    <mergeCell ref="A10:D10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selection sqref="A1:C1"/>
    </sheetView>
  </sheetViews>
  <sheetFormatPr defaultRowHeight="14.4" x14ac:dyDescent="0.3"/>
  <cols>
    <col min="1" max="1" width="15" customWidth="1"/>
    <col min="2" max="2" width="20" customWidth="1"/>
    <col min="3" max="3" width="30" customWidth="1"/>
  </cols>
  <sheetData>
    <row r="1" spans="1:3" ht="18" x14ac:dyDescent="0.35">
      <c r="A1" s="16" t="s">
        <v>53</v>
      </c>
      <c r="B1" s="12"/>
      <c r="C1" s="12"/>
    </row>
    <row r="3" spans="1:3" x14ac:dyDescent="0.3">
      <c r="A3" s="7"/>
      <c r="B3" s="7" t="s">
        <v>54</v>
      </c>
      <c r="C3" s="7" t="s">
        <v>55</v>
      </c>
    </row>
    <row r="4" spans="1:3" x14ac:dyDescent="0.3">
      <c r="A4" t="s">
        <v>56</v>
      </c>
      <c r="B4" t="s">
        <v>20</v>
      </c>
    </row>
    <row r="5" spans="1:3" x14ac:dyDescent="0.3">
      <c r="B5" t="s">
        <v>14</v>
      </c>
    </row>
    <row r="6" spans="1:3" x14ac:dyDescent="0.3">
      <c r="B6" t="s">
        <v>25</v>
      </c>
    </row>
    <row r="7" spans="1:3" x14ac:dyDescent="0.3">
      <c r="B7" t="s">
        <v>30</v>
      </c>
    </row>
    <row r="9" spans="1:3" x14ac:dyDescent="0.3">
      <c r="A9" t="s">
        <v>57</v>
      </c>
      <c r="B9" t="s">
        <v>26</v>
      </c>
    </row>
    <row r="10" spans="1:3" x14ac:dyDescent="0.3">
      <c r="B10" t="s">
        <v>15</v>
      </c>
    </row>
    <row r="11" spans="1:3" x14ac:dyDescent="0.3">
      <c r="B11" t="s">
        <v>31</v>
      </c>
    </row>
    <row r="12" spans="1:3" x14ac:dyDescent="0.3">
      <c r="B12" t="s">
        <v>44</v>
      </c>
    </row>
    <row r="13" spans="1:3" x14ac:dyDescent="0.3">
      <c r="B13" t="s">
        <v>45</v>
      </c>
    </row>
    <row r="15" spans="1:3" x14ac:dyDescent="0.3">
      <c r="A15" t="s">
        <v>58</v>
      </c>
      <c r="B15" t="s">
        <v>17</v>
      </c>
    </row>
    <row r="16" spans="1:3" x14ac:dyDescent="0.3">
      <c r="B16" t="s">
        <v>22</v>
      </c>
    </row>
    <row r="17" spans="1:3" x14ac:dyDescent="0.3">
      <c r="B17" t="s">
        <v>37</v>
      </c>
    </row>
    <row r="18" spans="1:3" x14ac:dyDescent="0.3">
      <c r="B18" t="s">
        <v>33</v>
      </c>
    </row>
    <row r="19" spans="1:3" x14ac:dyDescent="0.3">
      <c r="B19" t="s">
        <v>46</v>
      </c>
    </row>
    <row r="20" spans="1:3" x14ac:dyDescent="0.3">
      <c r="B20" t="s">
        <v>47</v>
      </c>
    </row>
    <row r="23" spans="1:3" ht="15.6" x14ac:dyDescent="0.3">
      <c r="A23" s="4" t="s">
        <v>59</v>
      </c>
    </row>
    <row r="24" spans="1:3" x14ac:dyDescent="0.3">
      <c r="A24" s="12" t="s">
        <v>60</v>
      </c>
      <c r="B24" s="12"/>
      <c r="C24" s="12"/>
    </row>
    <row r="25" spans="1:3" x14ac:dyDescent="0.3">
      <c r="A25" s="12" t="s">
        <v>61</v>
      </c>
      <c r="B25" s="12"/>
      <c r="C25" s="12"/>
    </row>
    <row r="26" spans="1:3" x14ac:dyDescent="0.3">
      <c r="A26" s="12" t="s">
        <v>62</v>
      </c>
      <c r="B26" s="12"/>
      <c r="C26" s="12"/>
    </row>
    <row r="27" spans="1:3" x14ac:dyDescent="0.3">
      <c r="A27" s="12" t="s">
        <v>63</v>
      </c>
      <c r="B27" s="12"/>
      <c r="C27" s="12"/>
    </row>
    <row r="28" spans="1:3" x14ac:dyDescent="0.3">
      <c r="A28" s="12" t="s">
        <v>64</v>
      </c>
      <c r="B28" s="12"/>
      <c r="C28" s="12"/>
    </row>
    <row r="29" spans="1:3" x14ac:dyDescent="0.3">
      <c r="A29" s="12" t="s">
        <v>65</v>
      </c>
      <c r="B29" s="12"/>
      <c r="C29" s="12"/>
    </row>
    <row r="30" spans="1:3" x14ac:dyDescent="0.3">
      <c r="A30" s="12" t="s">
        <v>66</v>
      </c>
      <c r="B30" s="12"/>
      <c r="C30" s="12"/>
    </row>
  </sheetData>
  <mergeCells count="8">
    <mergeCell ref="A25:C25"/>
    <mergeCell ref="A28:C28"/>
    <mergeCell ref="A1:C1"/>
    <mergeCell ref="A27:C27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Demandas</vt:lpstr>
      <vt:lpstr>Dashboard</vt:lpstr>
      <vt:lpstr>Relatórios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2025-12-10T19:02:38Z</dcterms:created>
  <dcterms:modified xsi:type="dcterms:W3CDTF">2025-12-10T19:06:40Z</dcterms:modified>
</cp:coreProperties>
</file>