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cb175263ccc1a41/Documentos/gerenciar_demanda/"/>
    </mc:Choice>
  </mc:AlternateContent>
  <xr:revisionPtr revIDLastSave="68" documentId="11_9798072711BFDFB911EB8B877228463C3871D0EC" xr6:coauthVersionLast="47" xr6:coauthVersionMax="47" xr10:uidLastSave="{5311821B-930F-45F7-85DA-B24A511BE1D8}"/>
  <bookViews>
    <workbookView xWindow="57480" yWindow="-120" windowWidth="29040" windowHeight="15720" activeTab="1" xr2:uid="{00000000-000D-0000-FFFF-FFFF00000000}"/>
  </bookViews>
  <sheets>
    <sheet name="Página inicial" sheetId="1" r:id="rId1"/>
    <sheet name="Processo 1" sheetId="2" r:id="rId2"/>
    <sheet name="Dashboard" sheetId="3" r:id="rId3"/>
    <sheet name="Análise de Desempenho" sheetId="4" r:id="rId4"/>
    <sheet name="Instruçõ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F6" i="4"/>
  <c r="F7" i="4"/>
  <c r="F8" i="4"/>
  <c r="F9" i="4"/>
  <c r="F5" i="4"/>
  <c r="E6" i="4"/>
  <c r="E7" i="4"/>
  <c r="E8" i="4"/>
  <c r="E9" i="4"/>
  <c r="E5" i="4"/>
  <c r="D6" i="4"/>
  <c r="D7" i="4"/>
  <c r="D8" i="4"/>
  <c r="D9" i="4"/>
  <c r="D5" i="4"/>
  <c r="C6" i="4"/>
  <c r="C7" i="4"/>
  <c r="C8" i="4"/>
  <c r="C9" i="4"/>
  <c r="C5" i="4"/>
  <c r="B6" i="4"/>
  <c r="B7" i="4"/>
  <c r="B8" i="4"/>
  <c r="B9" i="4"/>
  <c r="B5" i="4"/>
  <c r="B18" i="3"/>
  <c r="B19" i="3"/>
  <c r="B20" i="3"/>
  <c r="B17" i="3"/>
  <c r="F7" i="3"/>
  <c r="E7" i="3"/>
  <c r="D7" i="3"/>
  <c r="C7" i="3"/>
  <c r="B7" i="3"/>
  <c r="A7" i="3"/>
  <c r="H4" i="1"/>
  <c r="H5" i="1"/>
  <c r="H6" i="1"/>
  <c r="H7" i="1"/>
  <c r="H3" i="1"/>
  <c r="I7" i="2"/>
  <c r="I8" i="2"/>
  <c r="I9" i="2"/>
  <c r="I10" i="2"/>
  <c r="I11" i="2"/>
  <c r="I12" i="2"/>
  <c r="H9" i="2"/>
  <c r="H10" i="2"/>
  <c r="H11" i="2"/>
  <c r="H12" i="2"/>
  <c r="H8" i="2"/>
  <c r="H7" i="2"/>
  <c r="F3" i="1"/>
  <c r="J6" i="1" l="1"/>
  <c r="I6" i="1"/>
  <c r="G6" i="1"/>
  <c r="G4" i="1"/>
  <c r="I4" i="1"/>
  <c r="J4" i="1"/>
  <c r="J5" i="1"/>
  <c r="I5" i="1"/>
  <c r="G5" i="1"/>
  <c r="G7" i="3"/>
  <c r="J3" i="1"/>
  <c r="G3" i="1"/>
  <c r="I3" i="1"/>
  <c r="H7" i="3"/>
  <c r="G7" i="1"/>
  <c r="I7" i="1"/>
  <c r="J7" i="1"/>
</calcChain>
</file>

<file path=xl/sharedStrings.xml><?xml version="1.0" encoding="utf-8"?>
<sst xmlns="http://schemas.openxmlformats.org/spreadsheetml/2006/main" count="161" uniqueCount="136">
  <si>
    <t>🎯 GABINETE DE GOVERNANÇA - GERENCIAMENTO DE PROCESSOS (VERSÃO LIGHT)</t>
  </si>
  <si>
    <t>Processo</t>
  </si>
  <si>
    <t>Status</t>
  </si>
  <si>
    <t>Responsável</t>
  </si>
  <si>
    <t>Data de Início</t>
  </si>
  <si>
    <t>Data de Término</t>
  </si>
  <si>
    <t>% Concluído</t>
  </si>
  <si>
    <t>Tempo Estimado (dias)</t>
  </si>
  <si>
    <t>Tempo Real (dias)</t>
  </si>
  <si>
    <t>Dias Restantes</t>
  </si>
  <si>
    <t>Risco</t>
  </si>
  <si>
    <t>Saúde</t>
  </si>
  <si>
    <t>Link</t>
  </si>
  <si>
    <t>Mapeamento Processos GGOV</t>
  </si>
  <si>
    <t>Luma Damon / Suerlei Gondim</t>
  </si>
  <si>
    <t>Processo 1</t>
  </si>
  <si>
    <t>Atualização Normativas Internas</t>
  </si>
  <si>
    <t>Em execução</t>
  </si>
  <si>
    <t>Maria Santos</t>
  </si>
  <si>
    <t>Implantação Sistema GED</t>
  </si>
  <si>
    <t>Planejada</t>
  </si>
  <si>
    <t>Carlos Pereira</t>
  </si>
  <si>
    <t>Auditoria Processos Internos</t>
  </si>
  <si>
    <t>Ana Oliveira</t>
  </si>
  <si>
    <t>Capacitação Equipe Governança</t>
  </si>
  <si>
    <t>Concluída</t>
  </si>
  <si>
    <t>Luís Almeida</t>
  </si>
  <si>
    <t>Projeto
Mapeamento dos processos do Gabinete de Governança</t>
  </si>
  <si>
    <t>Descrição da demanda</t>
  </si>
  <si>
    <t>Realizar o mapeamento completo dos processos administrativos e operacionais do Gabinete de Governança (GGOV), com a finalidade de otimizar o desempenho das atividades e garantir maior transparência, eficiência e controle nos fluxos de trabalho.</t>
  </si>
  <si>
    <t>Status atual</t>
  </si>
  <si>
    <t>Página inicial</t>
  </si>
  <si>
    <t>% Conclusão</t>
  </si>
  <si>
    <t>Número SEI:</t>
  </si>
  <si>
    <t>Prioridade:</t>
  </si>
  <si>
    <t>Categoria:</t>
  </si>
  <si>
    <t>Risco:</t>
  </si>
  <si>
    <t>Passos para entregar a demanda:</t>
  </si>
  <si>
    <t>Data de início</t>
  </si>
  <si>
    <t>Data de término</t>
  </si>
  <si>
    <t>Produtos</t>
  </si>
  <si>
    <t>% Progresso</t>
  </si>
  <si>
    <t>Dias Rest.</t>
  </si>
  <si>
    <t>Alerta</t>
  </si>
  <si>
    <t>Tarefas</t>
  </si>
  <si>
    <t>Levantamento de Informações</t>
  </si>
  <si>
    <t>Luma Damon de Oliveira Melo</t>
  </si>
  <si>
    <t>Plano do projeto</t>
  </si>
  <si>
    <t>1. Realizar entrevistas
2. Coletar documentação</t>
  </si>
  <si>
    <t>Mapeamento de Processos</t>
  </si>
  <si>
    <t>Suerlei Gondim Dutra</t>
  </si>
  <si>
    <t>Relatório de Levantamento</t>
  </si>
  <si>
    <t>1. Documentar processos
2. Identificar gargalos</t>
  </si>
  <si>
    <t>Análise de Processos</t>
  </si>
  <si>
    <t>Não iniciada</t>
  </si>
  <si>
    <t>Mapas de Processos (Diagramas)</t>
  </si>
  <si>
    <t>1. Analisar eficiência
2. Propor melhorias</t>
  </si>
  <si>
    <t>Documentação e Relatório Final</t>
  </si>
  <si>
    <t>Relatório de Análise</t>
  </si>
  <si>
    <t>1. Consolidar documentação
2. Preparar apresentação</t>
  </si>
  <si>
    <t>Validação e Aprovação</t>
  </si>
  <si>
    <t>Relatório Final Validado</t>
  </si>
  <si>
    <t>1. Apresentar para stakeholders
2. Ajustar feedback</t>
  </si>
  <si>
    <t>Entrega e Implementação</t>
  </si>
  <si>
    <t>Processos Implementados</t>
  </si>
  <si>
    <t>1. Treinar equipe
2. Monitorar implementação</t>
  </si>
  <si>
    <t>📊 DASHBOARD EXECUTIVO - GABINETE DE GOVERNANÇA</t>
  </si>
  <si>
    <t>📅 Atualizado em: 10/12/2025 às 15:32</t>
  </si>
  <si>
    <t>🎯 INDICADORES-CHAVE DE PERFORMANCE (KPIs)</t>
  </si>
  <si>
    <t>📋 Total Processos</t>
  </si>
  <si>
    <t>🚀 Em Execução</t>
  </si>
  <si>
    <t>✅ Concluídos</t>
  </si>
  <si>
    <t>⏸️ Bloqueados</t>
  </si>
  <si>
    <t>📈 Taxa Conclusão</t>
  </si>
  <si>
    <t>💯 Saúde Média</t>
  </si>
  <si>
    <t>⚠️ Processos Risco</t>
  </si>
  <si>
    <t>⏱️ Prazo Médio</t>
  </si>
  <si>
    <t>🚨 PROCESSOS QUE REQUEREM ATENÇÃO</t>
  </si>
  <si>
    <t>Ação</t>
  </si>
  <si>
    <t>Quantidade</t>
  </si>
  <si>
    <t>Bloqueada</t>
  </si>
  <si>
    <t>Período</t>
  </si>
  <si>
    <t>Concluídas</t>
  </si>
  <si>
    <t>Iniciadas</t>
  </si>
  <si>
    <t>Semana 1</t>
  </si>
  <si>
    <t>Semana 2</t>
  </si>
  <si>
    <t>Semana 3</t>
  </si>
  <si>
    <t>Semana 4</t>
  </si>
  <si>
    <t>📊 ANÁLISE DE DESEMPENHO E PRODUTIVIDADE</t>
  </si>
  <si>
    <t>👤 DESEMPENHO POR RESPONSÁVEL</t>
  </si>
  <si>
    <t>Processos Ativos</t>
  </si>
  <si>
    <t>Concluídos</t>
  </si>
  <si>
    <t>Progresso Médio</t>
  </si>
  <si>
    <t>Avaliação</t>
  </si>
  <si>
    <t>📖 GUIA DE USO - SISTEMA LUMA LIGHT</t>
  </si>
  <si>
    <t>⚡ SISTEMA INTEGRADO GABINETE DE GOVERNANÇA - VERSÃO LIGHT</t>
  </si>
  <si>
    <t>Este sistema foi desenvolvido especificamente para o GGOV com base no modelo original,</t>
  </si>
  <si>
    <t>adicionando recursos avançados de visualização, análise e alertas.</t>
  </si>
  <si>
    <t>📊 ABAS DO SISTEMA:</t>
  </si>
  <si>
    <t>1. PÁGINA INICIAL:</t>
  </si>
  <si>
    <t xml:space="preserve">   • Visão consolidada de todos os processos</t>
  </si>
  <si>
    <t xml:space="preserve">   • Status, responsáveis, prazos e indicadores de saúde</t>
  </si>
  <si>
    <t xml:space="preserve">   • Cálculos automáticos de tempo e risco</t>
  </si>
  <si>
    <t xml:space="preserve">   • Formatação por cores para identificação rápida</t>
  </si>
  <si>
    <t>2. PROCESSO 1 (Template):</t>
  </si>
  <si>
    <t xml:space="preserve">   • Detalhamento completo do projeto</t>
  </si>
  <si>
    <t xml:space="preserve">   • Passos com status, responsável e progresso individual</t>
  </si>
  <si>
    <t xml:space="preserve">   • % de conclusão calculado automaticamente</t>
  </si>
  <si>
    <t xml:space="preserve">   • Alertas visuais por etapa</t>
  </si>
  <si>
    <t xml:space="preserve">   • Indicadores de prioridade e risco do projeto</t>
  </si>
  <si>
    <t>3. DASHBOARD EXECUTIVO:</t>
  </si>
  <si>
    <t xml:space="preserve">   • 8 KPIs principais atualizados em tempo real</t>
  </si>
  <si>
    <t xml:space="preserve">   • Gráfico de rosca para status dos processos</t>
  </si>
  <si>
    <t xml:space="preserve">   • Gráfico de linha para evolução temporal</t>
  </si>
  <si>
    <t xml:space="preserve">   • Seção de alertas para processos críticos</t>
  </si>
  <si>
    <t>4. ANÁLISE DE DESEMPENHO:</t>
  </si>
  <si>
    <t xml:space="preserve">   • Produtividade por responsável</t>
  </si>
  <si>
    <t xml:space="preserve">   • Métricas de conclusão e progresso</t>
  </si>
  <si>
    <t xml:space="preserve">   • Avaliação automática de performance</t>
  </si>
  <si>
    <t>🎨 CÓDIGO DE CORES:</t>
  </si>
  <si>
    <t>Status:</t>
  </si>
  <si>
    <t xml:space="preserve">   🟢 Verde = Concluída</t>
  </si>
  <si>
    <t xml:space="preserve">   🟡 Amarelo = Em execução</t>
  </si>
  <si>
    <t xml:space="preserve">   🔵 Azul = Planejada</t>
  </si>
  <si>
    <t xml:space="preserve">   🔴 Vermelho = Bloqueada</t>
  </si>
  <si>
    <t>Indicadores:</t>
  </si>
  <si>
    <t xml:space="preserve">   🟢 = Saudável (&gt;80%)</t>
  </si>
  <si>
    <t xml:space="preserve">   🟡 = Atenção (50-80%)</t>
  </si>
  <si>
    <t xml:space="preserve">   🔴 = Crítico (&lt;50%)</t>
  </si>
  <si>
    <t>🚀 COMO USAR:</t>
  </si>
  <si>
    <t xml:space="preserve">   1. Adicione processos na Página inicial</t>
  </si>
  <si>
    <t xml:space="preserve">   2. Para cada processo, crie uma aba detalhada (copie Processo 1)</t>
  </si>
  <si>
    <t xml:space="preserve">   3. Atualize status e % de progresso regularmente</t>
  </si>
  <si>
    <t xml:space="preserve">   4. Monitore o Dashboard para visão estratégica</t>
  </si>
  <si>
    <t xml:space="preserve">   5. Use Análise de Desempenho para acompanhar equipe</t>
  </si>
  <si>
    <t>💡 Sistema desenvolvido com Python + openpyxl para o Gabinete de Governança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</si>
</sst>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2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  <font>
      <b/>
      <sz val="18"/>
      <color rgb="FFFFFFFF"/>
      <name val="Calibri"/>
    </font>
    <font>
      <i/>
      <sz val="10"/>
      <name val="Calibri"/>
    </font>
    <font>
      <b/>
      <sz val="14"/>
      <color rgb="FF1F4E78"/>
      <name val="Calibri"/>
    </font>
    <font>
      <b/>
      <sz val="10"/>
      <color rgb="FFFFFFFF"/>
      <name val="Calibri"/>
    </font>
    <font>
      <b/>
      <sz val="16"/>
      <color rgb="FF4472D4"/>
      <name val="Calibri"/>
    </font>
    <font>
      <b/>
      <sz val="16"/>
      <color rgb="FFFFA500"/>
      <name val="Calibri"/>
    </font>
    <font>
      <b/>
      <sz val="16"/>
      <color rgb="FF00B050"/>
      <name val="Calibri"/>
    </font>
    <font>
      <b/>
      <sz val="16"/>
      <color rgb="FFC00000"/>
      <name val="Calibri"/>
    </font>
    <font>
      <b/>
      <sz val="16"/>
      <color rgb="FF00B0F0"/>
      <name val="Calibri"/>
    </font>
    <font>
      <b/>
      <sz val="16"/>
      <color rgb="FF92D050"/>
      <name val="Calibri"/>
    </font>
    <font>
      <b/>
      <sz val="16"/>
      <color rgb="FFFF0000"/>
      <name val="Calibri"/>
    </font>
    <font>
      <b/>
      <sz val="16"/>
      <color rgb="FF7030A0"/>
      <name val="Calibri"/>
    </font>
    <font>
      <b/>
      <sz val="14"/>
      <color rgb="FFC00000"/>
      <name val="Calibri"/>
    </font>
    <font>
      <b/>
      <sz val="16"/>
      <color rgb="FFFFFFFF"/>
      <name val="Calibri"/>
    </font>
    <font>
      <b/>
      <sz val="12"/>
      <color rgb="FF1F4E7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66092"/>
        <bgColor rgb="FF366092"/>
      </patternFill>
    </fill>
    <fill>
      <patternFill patternType="solid">
        <fgColor rgb="FFB6D7A8"/>
        <bgColor rgb="FFB6D7A8"/>
      </patternFill>
    </fill>
    <fill>
      <patternFill patternType="solid">
        <fgColor rgb="FFFFA500"/>
        <bgColor rgb="FFFFA500"/>
      </patternFill>
    </fill>
    <fill>
      <patternFill patternType="solid">
        <fgColor rgb="FF4472D4"/>
        <bgColor rgb="FF4472D4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9" fontId="0" fillId="0" borderId="0" xfId="0" applyNumberFormat="1"/>
    <xf numFmtId="0" fontId="6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9" fontId="16" fillId="7" borderId="1" xfId="0" applyNumberFormat="1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4" fillId="0" borderId="0" xfId="0" applyFont="1"/>
    <xf numFmtId="0" fontId="6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6" fillId="5" borderId="0" xfId="0" applyFont="1" applyFill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9" fontId="0" fillId="0" borderId="0" xfId="0" applyNumberFormat="1"/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/>
    <xf numFmtId="0" fontId="20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 indent="2"/>
    </xf>
    <xf numFmtId="0" fontId="3" fillId="0" borderId="0" xfId="0" applyFont="1"/>
    <xf numFmtId="0" fontId="21" fillId="0" borderId="0" xfId="0" applyFont="1"/>
    <xf numFmtId="2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📊 Distribuição por Status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3890969164596484"/>
          <c:y val="0.10268917404576976"/>
          <c:w val="0.497316725801697"/>
          <c:h val="0.81032407407407403"/>
        </c:manualLayout>
      </c:layout>
      <c:doughnutChart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Dashboard!$A$17:$A$20</c:f>
              <c:strCache>
                <c:ptCount val="4"/>
                <c:pt idx="0">
                  <c:v>Planejada</c:v>
                </c:pt>
                <c:pt idx="1">
                  <c:v>Em execução</c:v>
                </c:pt>
                <c:pt idx="2">
                  <c:v>Concluída</c:v>
                </c:pt>
                <c:pt idx="3">
                  <c:v>Bloqueada</c:v>
                </c:pt>
              </c:strCache>
            </c:strRef>
          </c:cat>
          <c:val>
            <c:numRef>
              <c:f>Dashboard!$B$17:$B$20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7-4959-95F2-FF7FB632E85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pt-BR"/>
              <a:t>📈 Evolução dos Processos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6.4675925925925928E-2"/>
          <c:w val="0.95149305555555552"/>
          <c:h val="0.93532407407407403"/>
        </c:manualLayout>
      </c:layout>
      <c:lineChart>
        <c:grouping val="standard"/>
        <c:varyColors val="1"/>
        <c:ser>
          <c:idx val="0"/>
          <c:order val="0"/>
          <c:tx>
            <c:strRef>
              <c:f>Dashboard!$B$24</c:f>
              <c:strCache>
                <c:ptCount val="1"/>
                <c:pt idx="0">
                  <c:v>Concluídas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Dashboard!$A$25:$A$28</c:f>
              <c:strCache>
                <c:ptCount val="4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</c:strCache>
            </c:strRef>
          </c:cat>
          <c:val>
            <c:numRef>
              <c:f>Dashboard!$B$25:$B$28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86-4F6A-BF08-C3F23071DC2B}"/>
            </c:ext>
          </c:extLst>
        </c:ser>
        <c:ser>
          <c:idx val="1"/>
          <c:order val="1"/>
          <c:tx>
            <c:strRef>
              <c:f>Dashboard!$C$24</c:f>
              <c:strCache>
                <c:ptCount val="1"/>
                <c:pt idx="0">
                  <c:v>Iniciadas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Dashboard!$A$25:$A$28</c:f>
              <c:strCache>
                <c:ptCount val="4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</c:strCache>
            </c:strRef>
          </c:cat>
          <c:val>
            <c:numRef>
              <c:f>Dashboard!$C$25:$C$28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86-4F6A-BF08-C3F23071D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Quantidade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619125</xdr:colOff>
      <xdr:row>19</xdr:row>
      <xdr:rowOff>160020</xdr:rowOff>
    </xdr:from>
    <xdr:ext cx="5503544" cy="33642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209550</xdr:colOff>
      <xdr:row>30</xdr:row>
      <xdr:rowOff>76200</xdr:rowOff>
    </xdr:from>
    <xdr:ext cx="57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L3" sqref="L3"/>
    </sheetView>
  </sheetViews>
  <sheetFormatPr defaultRowHeight="14.4" x14ac:dyDescent="0.3"/>
  <cols>
    <col min="1" max="1" width="30" customWidth="1"/>
    <col min="2" max="2" width="15" customWidth="1"/>
    <col min="3" max="3" width="27.6640625" bestFit="1" customWidth="1"/>
    <col min="4" max="5" width="16" customWidth="1"/>
    <col min="6" max="6" width="12" customWidth="1"/>
    <col min="7" max="7" width="18" customWidth="1"/>
    <col min="8" max="9" width="15" customWidth="1"/>
    <col min="10" max="10" width="14" customWidth="1"/>
    <col min="11" max="11" width="8" customWidth="1"/>
    <col min="12" max="12" width="12" customWidth="1"/>
  </cols>
  <sheetData>
    <row r="1" spans="1:12" ht="25.05" customHeigh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3">
      <c r="A3" s="2" t="s">
        <v>13</v>
      </c>
      <c r="B3" s="2" t="s">
        <v>17</v>
      </c>
      <c r="C3" s="2" t="s">
        <v>14</v>
      </c>
      <c r="D3" s="3">
        <v>46001</v>
      </c>
      <c r="E3" s="3">
        <v>46053</v>
      </c>
      <c r="F3" s="4">
        <f>'Processo 1'!K2</f>
        <v>0</v>
      </c>
      <c r="G3" s="2" t="str">
        <f ca="1">G3-F3</f>
        <v/>
      </c>
      <c r="H3" s="49">
        <f ca="1">TODAY()-E3</f>
        <v>-52</v>
      </c>
      <c r="I3" s="2" t="str">
        <f ca="1">G3-HOJE()</f>
        <v/>
      </c>
      <c r="J3" s="2" t="str">
        <f ca="1">SE(I3&lt;0,"🔴 Alto",SE(I3&lt;5,"🟡 Médio","🟢 Baixo"))</f>
        <v/>
      </c>
      <c r="K3" s="2" t="str">
        <f>IF(F3&gt;=0.8,"🟢",IF(F3&gt;=0.5,"🟡","🔴"))</f>
        <v>🔴</v>
      </c>
      <c r="L3" s="2" t="s">
        <v>15</v>
      </c>
    </row>
    <row r="4" spans="1:12" x14ac:dyDescent="0.3">
      <c r="A4" s="2" t="s">
        <v>16</v>
      </c>
      <c r="B4" s="2" t="s">
        <v>17</v>
      </c>
      <c r="C4" s="2" t="s">
        <v>18</v>
      </c>
      <c r="D4" s="3">
        <v>45996</v>
      </c>
      <c r="E4" s="3">
        <v>46011</v>
      </c>
      <c r="F4" s="4">
        <v>0.65</v>
      </c>
      <c r="G4" s="2" t="str">
        <f ca="1">G4-F4</f>
        <v/>
      </c>
      <c r="H4" s="53">
        <f t="shared" ref="H4:H7" ca="1" si="0">TODAY()-E4</f>
        <v>-10</v>
      </c>
      <c r="I4" s="2" t="str">
        <f ca="1">G4-HOJE()</f>
        <v/>
      </c>
      <c r="J4" s="2" t="str">
        <f ca="1">SE(I4&lt;0,"🔴 Alto",SE(I4&lt;5,"🟡 Médio","🟢 Baixo"))</f>
        <v/>
      </c>
      <c r="K4" s="2" t="str">
        <f t="shared" ref="K4:K7" si="1">IF(F4&gt;=0.8,"🟢",IF(F4&gt;=0.5,"🟡","🔴"))</f>
        <v>🟡</v>
      </c>
      <c r="L4" s="2"/>
    </row>
    <row r="5" spans="1:12" x14ac:dyDescent="0.3">
      <c r="A5" s="2" t="s">
        <v>19</v>
      </c>
      <c r="B5" s="2" t="s">
        <v>20</v>
      </c>
      <c r="C5" s="2" t="s">
        <v>21</v>
      </c>
      <c r="D5" s="3">
        <v>46006</v>
      </c>
      <c r="E5" s="3">
        <v>46068</v>
      </c>
      <c r="F5" s="4">
        <v>0.15</v>
      </c>
      <c r="G5" s="2" t="str">
        <f ca="1">G5-F5</f>
        <v/>
      </c>
      <c r="H5" s="49">
        <f t="shared" ca="1" si="0"/>
        <v>-67</v>
      </c>
      <c r="I5" s="2" t="str">
        <f ca="1">G5-HOJE()</f>
        <v/>
      </c>
      <c r="J5" s="2" t="str">
        <f ca="1">SE(I5&lt;0,"🔴 Alto",SE(I5&lt;5,"🟡 Médio","🟢 Baixo"))</f>
        <v/>
      </c>
      <c r="K5" s="2" t="str">
        <f t="shared" si="1"/>
        <v>🔴</v>
      </c>
      <c r="L5" s="2"/>
    </row>
    <row r="6" spans="1:12" x14ac:dyDescent="0.3">
      <c r="A6" s="2" t="s">
        <v>22</v>
      </c>
      <c r="B6" s="2" t="s">
        <v>17</v>
      </c>
      <c r="C6" s="2" t="s">
        <v>23</v>
      </c>
      <c r="D6" s="3">
        <v>45992</v>
      </c>
      <c r="E6" s="3">
        <v>46009</v>
      </c>
      <c r="F6" s="4">
        <v>0.8</v>
      </c>
      <c r="G6" s="2" t="str">
        <f ca="1">G6-F6</f>
        <v/>
      </c>
      <c r="H6" s="49">
        <f t="shared" ca="1" si="0"/>
        <v>-8</v>
      </c>
      <c r="I6" s="2" t="str">
        <f ca="1">G6-HOJE()</f>
        <v/>
      </c>
      <c r="J6" s="2" t="str">
        <f ca="1">SE(I6&lt;0,"🔴 Alto",SE(I6&lt;5,"🟡 Médio","🟢 Baixo"))</f>
        <v/>
      </c>
      <c r="K6" s="2" t="str">
        <f t="shared" si="1"/>
        <v>🟢</v>
      </c>
      <c r="L6" s="2"/>
    </row>
    <row r="7" spans="1:12" x14ac:dyDescent="0.3">
      <c r="A7" s="2" t="s">
        <v>24</v>
      </c>
      <c r="B7" s="2" t="s">
        <v>25</v>
      </c>
      <c r="C7" s="2" t="s">
        <v>26</v>
      </c>
      <c r="D7" s="3">
        <v>45981</v>
      </c>
      <c r="E7" s="3">
        <v>45996</v>
      </c>
      <c r="F7" s="4">
        <v>1</v>
      </c>
      <c r="G7" s="2" t="str">
        <f ca="1">G7-F7</f>
        <v/>
      </c>
      <c r="H7" s="49">
        <f t="shared" ca="1" si="0"/>
        <v>5</v>
      </c>
      <c r="I7" s="2" t="str">
        <f ca="1">G7-HOJE()</f>
        <v/>
      </c>
      <c r="J7" s="2" t="str">
        <f ca="1">SE(I7&lt;0,"🔴 Alto",SE(I7&lt;5,"🟡 Médio","🟢 Baixo"))</f>
        <v/>
      </c>
      <c r="K7" s="2" t="str">
        <f t="shared" si="1"/>
        <v>🟢</v>
      </c>
      <c r="L7" s="2"/>
    </row>
  </sheetData>
  <mergeCells count="1">
    <mergeCell ref="A1:L1"/>
  </mergeCells>
  <conditionalFormatting sqref="B3:B100">
    <cfRule type="cellIs" dxfId="2" priority="1" operator="equal">
      <formula>"Concluída"</formula>
    </cfRule>
    <cfRule type="cellIs" dxfId="1" priority="2" operator="equal">
      <formula>"Em execução"</formula>
    </cfRule>
    <cfRule type="cellIs" dxfId="0" priority="3" operator="equal">
      <formula>"Planejada"</formula>
    </cfRule>
  </conditionalFormatting>
  <conditionalFormatting sqref="F3:F100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1">
    <dataValidation type="list" sqref="B3:B100" xr:uid="{00000000-0002-0000-0000-000000000000}">
      <formula1>"Planejada,Em execução,Concluída,Cancelada,Bloqueada"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tabSelected="1" workbookViewId="0">
      <selection activeCell="I7" sqref="I7"/>
    </sheetView>
  </sheetViews>
  <sheetFormatPr defaultRowHeight="14.4" x14ac:dyDescent="0.3"/>
  <cols>
    <col min="1" max="1" width="32" customWidth="1"/>
    <col min="2" max="2" width="15" customWidth="1"/>
    <col min="3" max="3" width="28" customWidth="1"/>
    <col min="4" max="5" width="16" customWidth="1"/>
    <col min="6" max="6" width="25" customWidth="1"/>
    <col min="7" max="7" width="12" customWidth="1"/>
    <col min="8" max="8" width="10.5546875" style="50" bestFit="1" customWidth="1"/>
    <col min="9" max="9" width="8" customWidth="1"/>
    <col min="10" max="10" width="40" customWidth="1"/>
  </cols>
  <sheetData>
    <row r="1" spans="1:11" ht="45" customHeight="1" x14ac:dyDescent="0.3">
      <c r="A1" s="38" t="s">
        <v>27</v>
      </c>
      <c r="B1" s="34" t="s">
        <v>28</v>
      </c>
      <c r="C1" s="30" t="s">
        <v>29</v>
      </c>
      <c r="D1" s="29"/>
      <c r="E1" s="29"/>
      <c r="F1" s="29"/>
      <c r="G1" s="29"/>
      <c r="H1" s="29"/>
      <c r="I1" s="34" t="s">
        <v>30</v>
      </c>
      <c r="J1" s="37" t="s">
        <v>31</v>
      </c>
      <c r="K1" s="35" t="s">
        <v>32</v>
      </c>
    </row>
    <row r="2" spans="1:11" ht="45" customHeigh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36"/>
    </row>
    <row r="3" spans="1:11" x14ac:dyDescent="0.3">
      <c r="A3" s="30" t="s">
        <v>33</v>
      </c>
      <c r="B3" s="31" t="s">
        <v>34</v>
      </c>
      <c r="C3" s="31" t="s">
        <v>35</v>
      </c>
      <c r="D3" s="33" t="s">
        <v>36</v>
      </c>
    </row>
    <row r="4" spans="1:11" x14ac:dyDescent="0.3">
      <c r="A4" s="29"/>
      <c r="B4" s="32"/>
      <c r="C4" s="29"/>
      <c r="D4" s="29"/>
    </row>
    <row r="6" spans="1:11" x14ac:dyDescent="0.3">
      <c r="A6" s="7" t="s">
        <v>37</v>
      </c>
      <c r="B6" s="7" t="s">
        <v>2</v>
      </c>
      <c r="C6" s="7" t="s">
        <v>3</v>
      </c>
      <c r="D6" s="7" t="s">
        <v>38</v>
      </c>
      <c r="E6" s="7" t="s">
        <v>39</v>
      </c>
      <c r="F6" s="7" t="s">
        <v>40</v>
      </c>
      <c r="G6" s="7" t="s">
        <v>41</v>
      </c>
      <c r="H6" s="51" t="s">
        <v>42</v>
      </c>
      <c r="I6" s="7" t="s">
        <v>43</v>
      </c>
      <c r="J6" s="7" t="s">
        <v>44</v>
      </c>
    </row>
    <row r="7" spans="1:11" ht="34.950000000000003" customHeight="1" x14ac:dyDescent="0.3">
      <c r="A7" s="5" t="s">
        <v>45</v>
      </c>
      <c r="B7" s="5" t="s">
        <v>17</v>
      </c>
      <c r="C7" s="5" t="s">
        <v>46</v>
      </c>
      <c r="D7" s="8">
        <v>46001</v>
      </c>
      <c r="E7" s="8">
        <v>46038</v>
      </c>
      <c r="F7" s="5" t="s">
        <v>47</v>
      </c>
      <c r="G7" s="4">
        <v>0.7</v>
      </c>
      <c r="H7" s="52">
        <f ca="1">E7-TODAY()</f>
        <v>37</v>
      </c>
      <c r="I7" s="2" t="str">
        <f>IF(G8&lt;0,"🔴",IF(G8&lt;5,"🟡","🟢"))</f>
        <v>🟡</v>
      </c>
      <c r="J7" s="5" t="s">
        <v>48</v>
      </c>
    </row>
    <row r="8" spans="1:11" ht="34.950000000000003" customHeight="1" x14ac:dyDescent="0.3">
      <c r="A8" s="5" t="s">
        <v>49</v>
      </c>
      <c r="B8" s="5" t="s">
        <v>17</v>
      </c>
      <c r="C8" s="5" t="s">
        <v>50</v>
      </c>
      <c r="D8" s="8">
        <v>46001</v>
      </c>
      <c r="E8" s="8">
        <v>46053</v>
      </c>
      <c r="F8" s="5" t="s">
        <v>51</v>
      </c>
      <c r="G8" s="4">
        <v>0.6</v>
      </c>
      <c r="H8" s="52">
        <f ca="1">E8-TODAY()</f>
        <v>52</v>
      </c>
      <c r="I8" s="2" t="str">
        <f t="shared" ref="I8:I12" si="0">IF(G9&lt;0,"🔴",IF(G9&lt;5,"🟡","🟢"))</f>
        <v>🟡</v>
      </c>
      <c r="J8" s="5" t="s">
        <v>52</v>
      </c>
    </row>
    <row r="9" spans="1:11" ht="34.950000000000003" customHeight="1" x14ac:dyDescent="0.3">
      <c r="A9" s="5" t="s">
        <v>53</v>
      </c>
      <c r="B9" s="5" t="s">
        <v>54</v>
      </c>
      <c r="C9" s="5"/>
      <c r="D9" s="5"/>
      <c r="E9" s="8">
        <v>46068</v>
      </c>
      <c r="F9" s="5" t="s">
        <v>55</v>
      </c>
      <c r="G9" s="4">
        <v>0</v>
      </c>
      <c r="H9" s="52">
        <f t="shared" ref="H9:H12" ca="1" si="1">E9-TODAY()</f>
        <v>67</v>
      </c>
      <c r="I9" s="2" t="str">
        <f t="shared" si="0"/>
        <v>🟡</v>
      </c>
      <c r="J9" s="5" t="s">
        <v>56</v>
      </c>
    </row>
    <row r="10" spans="1:11" ht="34.950000000000003" customHeight="1" x14ac:dyDescent="0.3">
      <c r="A10" s="5" t="s">
        <v>57</v>
      </c>
      <c r="B10" s="5" t="s">
        <v>54</v>
      </c>
      <c r="C10" s="5"/>
      <c r="D10" s="5"/>
      <c r="E10" s="8">
        <v>46081</v>
      </c>
      <c r="F10" s="5" t="s">
        <v>58</v>
      </c>
      <c r="G10" s="4">
        <v>0</v>
      </c>
      <c r="H10" s="52">
        <f t="shared" ca="1" si="1"/>
        <v>80</v>
      </c>
      <c r="I10" s="2" t="str">
        <f t="shared" si="0"/>
        <v>🟡</v>
      </c>
      <c r="J10" s="5" t="s">
        <v>59</v>
      </c>
    </row>
    <row r="11" spans="1:11" ht="34.950000000000003" customHeight="1" x14ac:dyDescent="0.3">
      <c r="A11" s="5" t="s">
        <v>60</v>
      </c>
      <c r="B11" s="5" t="s">
        <v>54</v>
      </c>
      <c r="C11" s="5"/>
      <c r="D11" s="5"/>
      <c r="E11" s="8">
        <v>46091</v>
      </c>
      <c r="F11" s="5" t="s">
        <v>61</v>
      </c>
      <c r="G11" s="4">
        <v>0</v>
      </c>
      <c r="H11" s="52">
        <f t="shared" ca="1" si="1"/>
        <v>90</v>
      </c>
      <c r="I11" s="2" t="str">
        <f t="shared" si="0"/>
        <v>🟡</v>
      </c>
      <c r="J11" s="5" t="s">
        <v>62</v>
      </c>
    </row>
    <row r="12" spans="1:11" ht="34.950000000000003" customHeight="1" x14ac:dyDescent="0.3">
      <c r="A12" s="5" t="s">
        <v>63</v>
      </c>
      <c r="B12" s="5" t="s">
        <v>54</v>
      </c>
      <c r="C12" s="5"/>
      <c r="D12" s="5"/>
      <c r="E12" s="8">
        <v>46112</v>
      </c>
      <c r="F12" s="5" t="s">
        <v>64</v>
      </c>
      <c r="G12" s="4">
        <v>0</v>
      </c>
      <c r="H12" s="52">
        <f t="shared" ca="1" si="1"/>
        <v>111</v>
      </c>
      <c r="I12" s="2" t="str">
        <f t="shared" si="0"/>
        <v>🟡</v>
      </c>
      <c r="J12" s="5" t="s">
        <v>65</v>
      </c>
    </row>
  </sheetData>
  <mergeCells count="10">
    <mergeCell ref="K1:K2"/>
    <mergeCell ref="I1:I2"/>
    <mergeCell ref="J1:J2"/>
    <mergeCell ref="A1:A2"/>
    <mergeCell ref="C1:H2"/>
    <mergeCell ref="C3:C4"/>
    <mergeCell ref="A3:A4"/>
    <mergeCell ref="B3:B4"/>
    <mergeCell ref="D3:D4"/>
    <mergeCell ref="B1:B2"/>
  </mergeCells>
  <conditionalFormatting sqref="G7:G100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1">
    <dataValidation type="list" sqref="B7:B20" xr:uid="{00000000-0002-0000-0100-000000000000}">
      <formula1>"Não iniciada,Em execução,Concluída"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topLeftCell="A21" workbookViewId="0">
      <selection activeCell="F22" sqref="F22"/>
    </sheetView>
  </sheetViews>
  <sheetFormatPr defaultRowHeight="14.4" x14ac:dyDescent="0.3"/>
  <cols>
    <col min="1" max="8" width="18" customWidth="1"/>
  </cols>
  <sheetData>
    <row r="1" spans="1:8" x14ac:dyDescent="0.3">
      <c r="A1" s="39" t="s">
        <v>66</v>
      </c>
      <c r="B1" s="29"/>
      <c r="C1" s="29"/>
      <c r="D1" s="29"/>
      <c r="E1" s="29"/>
      <c r="F1" s="29"/>
      <c r="G1" s="29"/>
      <c r="H1" s="29"/>
    </row>
    <row r="2" spans="1:8" x14ac:dyDescent="0.3">
      <c r="A2" s="29"/>
      <c r="B2" s="29"/>
      <c r="C2" s="29"/>
      <c r="D2" s="29"/>
      <c r="E2" s="29"/>
      <c r="F2" s="29"/>
      <c r="G2" s="29"/>
      <c r="H2" s="29"/>
    </row>
    <row r="3" spans="1:8" x14ac:dyDescent="0.3">
      <c r="A3" s="40" t="s">
        <v>67</v>
      </c>
      <c r="B3" s="29"/>
      <c r="C3" s="29"/>
      <c r="D3" s="29"/>
      <c r="E3" s="29"/>
      <c r="F3" s="29"/>
      <c r="G3" s="29"/>
      <c r="H3" s="29"/>
    </row>
    <row r="5" spans="1:8" ht="18" x14ac:dyDescent="0.35">
      <c r="A5" s="42" t="s">
        <v>68</v>
      </c>
      <c r="B5" s="29"/>
      <c r="C5" s="29"/>
      <c r="D5" s="29"/>
      <c r="E5" s="29"/>
      <c r="F5" s="29"/>
      <c r="G5" s="29"/>
      <c r="H5" s="29"/>
    </row>
    <row r="6" spans="1:8" x14ac:dyDescent="0.3">
      <c r="A6" s="9" t="s">
        <v>69</v>
      </c>
      <c r="B6" s="10" t="s">
        <v>70</v>
      </c>
      <c r="C6" s="11" t="s">
        <v>71</v>
      </c>
      <c r="D6" s="12" t="s">
        <v>72</v>
      </c>
      <c r="E6" s="13" t="s">
        <v>73</v>
      </c>
      <c r="F6" s="14" t="s">
        <v>74</v>
      </c>
      <c r="G6" s="15" t="s">
        <v>75</v>
      </c>
      <c r="H6" s="16" t="s">
        <v>76</v>
      </c>
    </row>
    <row r="7" spans="1:8" ht="21" x14ac:dyDescent="0.3">
      <c r="A7" s="17">
        <f>COUNTA('Página inicial'!A3:A100)</f>
        <v>5</v>
      </c>
      <c r="B7" s="18">
        <f>COUNTIF('Página inicial'!B:B,"Em execução")</f>
        <v>3</v>
      </c>
      <c r="C7" s="19">
        <f>COUNTIF('Página inicial'!B:B,"Concluída")</f>
        <v>1</v>
      </c>
      <c r="D7" s="20">
        <f>COUNTIF('Página inicial'!B:B,"Bloqueada")</f>
        <v>0</v>
      </c>
      <c r="E7" s="21" t="str">
        <f>IF(B7=0,"0%",TEXT(D7/B7,"0%"))</f>
        <v>0%</v>
      </c>
      <c r="F7" s="22">
        <f>AVERAGE('Página inicial'!F3:F20)</f>
        <v>0.52</v>
      </c>
      <c r="G7" s="23">
        <f ca="1">COUNTIF('Página inicial'!J:J,"*Alto*")</f>
        <v>0</v>
      </c>
      <c r="H7" s="24">
        <f ca="1">AVERAGE('Página inicial'!I3:I20)&amp;" dias"</f>
        <v>0</v>
      </c>
    </row>
    <row r="10" spans="1:8" ht="18" x14ac:dyDescent="0.35">
      <c r="A10" s="41" t="s">
        <v>77</v>
      </c>
      <c r="B10" s="29"/>
      <c r="C10" s="29"/>
      <c r="D10" s="29"/>
      <c r="E10" s="29"/>
      <c r="F10" s="29"/>
    </row>
    <row r="11" spans="1:8" x14ac:dyDescent="0.3">
      <c r="A11" s="25" t="s">
        <v>1</v>
      </c>
      <c r="B11" s="25" t="s">
        <v>3</v>
      </c>
      <c r="C11" s="25" t="s">
        <v>2</v>
      </c>
      <c r="D11" s="25" t="s">
        <v>41</v>
      </c>
      <c r="E11" s="25" t="s">
        <v>42</v>
      </c>
      <c r="F11" s="25" t="s">
        <v>78</v>
      </c>
    </row>
    <row r="16" spans="1:8" x14ac:dyDescent="0.3">
      <c r="A16" s="26" t="s">
        <v>2</v>
      </c>
      <c r="B16" s="26" t="s">
        <v>79</v>
      </c>
    </row>
    <row r="17" spans="1:3" x14ac:dyDescent="0.3">
      <c r="A17" t="s">
        <v>20</v>
      </c>
      <c r="B17">
        <f>COUNTIF('Página inicial'!B:B,"Planejada")</f>
        <v>1</v>
      </c>
    </row>
    <row r="18" spans="1:3" x14ac:dyDescent="0.3">
      <c r="A18" t="s">
        <v>17</v>
      </c>
      <c r="B18">
        <f>COUNTIF('Página inicial'!B:B,"Planejada")</f>
        <v>1</v>
      </c>
    </row>
    <row r="19" spans="1:3" x14ac:dyDescent="0.3">
      <c r="A19" t="s">
        <v>25</v>
      </c>
      <c r="B19">
        <f>COUNTIF('Página inicial'!B:B,"Planejada")</f>
        <v>1</v>
      </c>
    </row>
    <row r="20" spans="1:3" x14ac:dyDescent="0.3">
      <c r="A20" t="s">
        <v>80</v>
      </c>
      <c r="B20">
        <f>COUNTIF('Página inicial'!B:B,"Planejada")</f>
        <v>1</v>
      </c>
    </row>
    <row r="24" spans="1:3" x14ac:dyDescent="0.3">
      <c r="A24" t="s">
        <v>81</v>
      </c>
      <c r="B24" t="s">
        <v>82</v>
      </c>
      <c r="C24" t="s">
        <v>83</v>
      </c>
    </row>
    <row r="25" spans="1:3" x14ac:dyDescent="0.3">
      <c r="A25" t="s">
        <v>84</v>
      </c>
      <c r="B25">
        <v>1</v>
      </c>
      <c r="C25">
        <v>2</v>
      </c>
    </row>
    <row r="26" spans="1:3" x14ac:dyDescent="0.3">
      <c r="A26" t="s">
        <v>85</v>
      </c>
      <c r="B26">
        <v>2</v>
      </c>
      <c r="C26">
        <v>1</v>
      </c>
    </row>
    <row r="27" spans="1:3" x14ac:dyDescent="0.3">
      <c r="A27" t="s">
        <v>86</v>
      </c>
      <c r="B27">
        <v>1</v>
      </c>
      <c r="C27">
        <v>1</v>
      </c>
    </row>
    <row r="28" spans="1:3" x14ac:dyDescent="0.3">
      <c r="A28" t="s">
        <v>87</v>
      </c>
      <c r="B28">
        <v>1</v>
      </c>
      <c r="C28">
        <v>1</v>
      </c>
    </row>
  </sheetData>
  <mergeCells count="4">
    <mergeCell ref="A1:H2"/>
    <mergeCell ref="A3:H3"/>
    <mergeCell ref="A10:F10"/>
    <mergeCell ref="A5:H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H16" sqref="H16"/>
    </sheetView>
  </sheetViews>
  <sheetFormatPr defaultRowHeight="14.4" x14ac:dyDescent="0.3"/>
  <cols>
    <col min="1" max="6" width="28" customWidth="1"/>
  </cols>
  <sheetData>
    <row r="1" spans="1:6" ht="21" x14ac:dyDescent="0.3">
      <c r="A1" s="44" t="s">
        <v>88</v>
      </c>
      <c r="B1" s="29"/>
      <c r="C1" s="29"/>
      <c r="D1" s="29"/>
      <c r="E1" s="29"/>
      <c r="F1" s="29"/>
    </row>
    <row r="3" spans="1:6" ht="15.6" x14ac:dyDescent="0.3">
      <c r="A3" s="43" t="s">
        <v>89</v>
      </c>
      <c r="B3" s="29"/>
      <c r="C3" s="29"/>
      <c r="D3" s="29"/>
      <c r="E3" s="29"/>
      <c r="F3" s="29"/>
    </row>
    <row r="4" spans="1:6" x14ac:dyDescent="0.3">
      <c r="A4" s="27" t="s">
        <v>3</v>
      </c>
      <c r="B4" s="27" t="s">
        <v>90</v>
      </c>
      <c r="C4" s="27" t="s">
        <v>91</v>
      </c>
      <c r="D4" s="27" t="s">
        <v>32</v>
      </c>
      <c r="E4" s="27" t="s">
        <v>92</v>
      </c>
      <c r="F4" s="27" t="s">
        <v>93</v>
      </c>
    </row>
    <row r="5" spans="1:6" x14ac:dyDescent="0.3">
      <c r="A5" t="s">
        <v>46</v>
      </c>
      <c r="B5">
        <f>COUNTIF('Página inicial'!C:C,"*Luma*")</f>
        <v>1</v>
      </c>
      <c r="C5">
        <f>COUNTIFS('Página inicial'!C:C,"*Luma*",'Página inicial'!B:B,"Concluída")</f>
        <v>0</v>
      </c>
      <c r="D5" s="6">
        <f>IF(B5=0,0,C5/B5)</f>
        <v>0</v>
      </c>
      <c r="E5" s="6" t="e">
        <f>AVERAGEIF('Página inicial'!C:C,"*"&amp;A5&amp;"*",'Página inicial'!F:F)</f>
        <v>#DIV/0!</v>
      </c>
      <c r="F5" t="e">
        <f>IF(E5&gt;=0.7,"🟢 Excelente",IF(E5&gt;=0.5,"🟡 Bom","🔴 Atenção"))</f>
        <v>#DIV/0!</v>
      </c>
    </row>
    <row r="6" spans="1:6" x14ac:dyDescent="0.3">
      <c r="A6" t="s">
        <v>50</v>
      </c>
      <c r="B6">
        <f>COUNTIF('Página inicial'!C:C,"*Luma*")</f>
        <v>1</v>
      </c>
      <c r="C6">
        <f>COUNTIFS('Página inicial'!C:C,"*Luma*",'Página inicial'!B:B,"Concluída")</f>
        <v>0</v>
      </c>
      <c r="D6" s="6">
        <f t="shared" ref="D6:D9" si="0">IF(B6=0,0,C6/B6)</f>
        <v>0</v>
      </c>
      <c r="E6" s="6" t="e">
        <f>AVERAGEIF('Página inicial'!C:C,"*"&amp;A6&amp;"*",'Página inicial'!F:F)</f>
        <v>#DIV/0!</v>
      </c>
      <c r="F6" t="e">
        <f t="shared" ref="F6:F9" si="1">IF(E6&gt;=0.7,"🟢 Excelente",IF(E6&gt;=0.5,"🟡 Bom","🔴 Atenção"))</f>
        <v>#DIV/0!</v>
      </c>
    </row>
    <row r="7" spans="1:6" x14ac:dyDescent="0.3">
      <c r="A7" t="s">
        <v>18</v>
      </c>
      <c r="B7">
        <f>COUNTIF('Página inicial'!C:C,"*Luma*")</f>
        <v>1</v>
      </c>
      <c r="C7">
        <f>COUNTIFS('Página inicial'!C:C,"*Luma*",'Página inicial'!B:B,"Concluída")</f>
        <v>0</v>
      </c>
      <c r="D7" s="6">
        <f t="shared" si="0"/>
        <v>0</v>
      </c>
      <c r="E7" s="6">
        <f>AVERAGEIF('Página inicial'!C:C,"*"&amp;A7&amp;"*",'Página inicial'!F:F)</f>
        <v>0.65</v>
      </c>
      <c r="F7" t="str">
        <f t="shared" si="1"/>
        <v>🟡 Bom</v>
      </c>
    </row>
    <row r="8" spans="1:6" x14ac:dyDescent="0.3">
      <c r="A8" t="s">
        <v>21</v>
      </c>
      <c r="B8">
        <f>COUNTIF('Página inicial'!C:C,"*Luma*")</f>
        <v>1</v>
      </c>
      <c r="C8">
        <f>COUNTIFS('Página inicial'!C:C,"*Luma*",'Página inicial'!B:B,"Concluída")</f>
        <v>0</v>
      </c>
      <c r="D8" s="6">
        <f t="shared" si="0"/>
        <v>0</v>
      </c>
      <c r="E8" s="6">
        <f>AVERAGEIF('Página inicial'!C:C,"*"&amp;A8&amp;"*",'Página inicial'!F:F)</f>
        <v>0.15</v>
      </c>
      <c r="F8" t="str">
        <f t="shared" si="1"/>
        <v>🔴 Atenção</v>
      </c>
    </row>
    <row r="9" spans="1:6" x14ac:dyDescent="0.3">
      <c r="A9" t="s">
        <v>23</v>
      </c>
      <c r="B9">
        <f>COUNTIF('Página inicial'!C:C,"*Luma*")</f>
        <v>1</v>
      </c>
      <c r="C9">
        <f>COUNTIFS('Página inicial'!C:C,"*Luma*",'Página inicial'!B:B,"Concluída")</f>
        <v>0</v>
      </c>
      <c r="D9" s="6">
        <f t="shared" si="0"/>
        <v>0</v>
      </c>
      <c r="E9" s="6">
        <f>AVERAGEIF('Página inicial'!C:C,"*"&amp;A9&amp;"*",'Página inicial'!F:F)</f>
        <v>0.8</v>
      </c>
      <c r="F9" t="str">
        <f t="shared" si="1"/>
        <v>🟢 Excelente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5"/>
  <sheetViews>
    <sheetView workbookViewId="0">
      <selection sqref="A1:D1"/>
    </sheetView>
  </sheetViews>
  <sheetFormatPr defaultRowHeight="14.4" x14ac:dyDescent="0.3"/>
  <cols>
    <col min="1" max="1" width="85" customWidth="1"/>
  </cols>
  <sheetData>
    <row r="1" spans="1:4" ht="21" x14ac:dyDescent="0.3">
      <c r="A1" s="44" t="s">
        <v>94</v>
      </c>
      <c r="B1" s="29"/>
      <c r="C1" s="29"/>
      <c r="D1" s="29"/>
    </row>
    <row r="2" spans="1:4" x14ac:dyDescent="0.3">
      <c r="A2" s="45"/>
      <c r="B2" s="29"/>
      <c r="C2" s="29"/>
      <c r="D2" s="29"/>
    </row>
    <row r="3" spans="1:4" ht="15.6" x14ac:dyDescent="0.3">
      <c r="A3" s="48" t="s">
        <v>95</v>
      </c>
      <c r="B3" s="29"/>
      <c r="C3" s="29"/>
      <c r="D3" s="29"/>
    </row>
    <row r="4" spans="1:4" x14ac:dyDescent="0.3">
      <c r="A4" s="45"/>
      <c r="B4" s="29"/>
      <c r="C4" s="29"/>
      <c r="D4" s="29"/>
    </row>
    <row r="5" spans="1:4" x14ac:dyDescent="0.3">
      <c r="A5" s="45" t="s">
        <v>96</v>
      </c>
      <c r="B5" s="29"/>
      <c r="C5" s="29"/>
      <c r="D5" s="29"/>
    </row>
    <row r="6" spans="1:4" x14ac:dyDescent="0.3">
      <c r="A6" s="45" t="s">
        <v>97</v>
      </c>
      <c r="B6" s="29"/>
      <c r="C6" s="29"/>
      <c r="D6" s="29"/>
    </row>
    <row r="7" spans="1:4" x14ac:dyDescent="0.3">
      <c r="A7" s="45"/>
      <c r="B7" s="29"/>
      <c r="C7" s="29"/>
      <c r="D7" s="29"/>
    </row>
    <row r="8" spans="1:4" ht="15.6" x14ac:dyDescent="0.3">
      <c r="A8" s="48" t="s">
        <v>98</v>
      </c>
      <c r="B8" s="29"/>
      <c r="C8" s="29"/>
      <c r="D8" s="29"/>
    </row>
    <row r="9" spans="1:4" x14ac:dyDescent="0.3">
      <c r="A9" s="45"/>
      <c r="B9" s="29"/>
      <c r="C9" s="29"/>
      <c r="D9" s="29"/>
    </row>
    <row r="10" spans="1:4" x14ac:dyDescent="0.3">
      <c r="A10" s="47" t="s">
        <v>99</v>
      </c>
      <c r="B10" s="29"/>
      <c r="C10" s="29"/>
      <c r="D10" s="29"/>
    </row>
    <row r="11" spans="1:4" x14ac:dyDescent="0.3">
      <c r="A11" s="46" t="s">
        <v>100</v>
      </c>
      <c r="B11" s="29"/>
      <c r="C11" s="29"/>
      <c r="D11" s="29"/>
    </row>
    <row r="12" spans="1:4" x14ac:dyDescent="0.3">
      <c r="A12" s="46" t="s">
        <v>101</v>
      </c>
      <c r="B12" s="29"/>
      <c r="C12" s="29"/>
      <c r="D12" s="29"/>
    </row>
    <row r="13" spans="1:4" x14ac:dyDescent="0.3">
      <c r="A13" s="46" t="s">
        <v>102</v>
      </c>
      <c r="B13" s="29"/>
      <c r="C13" s="29"/>
      <c r="D13" s="29"/>
    </row>
    <row r="14" spans="1:4" x14ac:dyDescent="0.3">
      <c r="A14" s="46" t="s">
        <v>103</v>
      </c>
      <c r="B14" s="29"/>
      <c r="C14" s="29"/>
      <c r="D14" s="29"/>
    </row>
    <row r="15" spans="1:4" x14ac:dyDescent="0.3">
      <c r="A15" s="45"/>
      <c r="B15" s="29"/>
      <c r="C15" s="29"/>
      <c r="D15" s="29"/>
    </row>
    <row r="16" spans="1:4" x14ac:dyDescent="0.3">
      <c r="A16" s="47" t="s">
        <v>104</v>
      </c>
      <c r="B16" s="29"/>
      <c r="C16" s="29"/>
      <c r="D16" s="29"/>
    </row>
    <row r="17" spans="1:4" x14ac:dyDescent="0.3">
      <c r="A17" s="46" t="s">
        <v>105</v>
      </c>
      <c r="B17" s="29"/>
      <c r="C17" s="29"/>
      <c r="D17" s="29"/>
    </row>
    <row r="18" spans="1:4" x14ac:dyDescent="0.3">
      <c r="A18" s="46" t="s">
        <v>106</v>
      </c>
      <c r="B18" s="29"/>
      <c r="C18" s="29"/>
      <c r="D18" s="29"/>
    </row>
    <row r="19" spans="1:4" x14ac:dyDescent="0.3">
      <c r="A19" s="46" t="s">
        <v>107</v>
      </c>
      <c r="B19" s="29"/>
      <c r="C19" s="29"/>
      <c r="D19" s="29"/>
    </row>
    <row r="20" spans="1:4" x14ac:dyDescent="0.3">
      <c r="A20" s="46" t="s">
        <v>108</v>
      </c>
      <c r="B20" s="29"/>
      <c r="C20" s="29"/>
      <c r="D20" s="29"/>
    </row>
    <row r="21" spans="1:4" x14ac:dyDescent="0.3">
      <c r="A21" s="46" t="s">
        <v>109</v>
      </c>
      <c r="B21" s="29"/>
      <c r="C21" s="29"/>
      <c r="D21" s="29"/>
    </row>
    <row r="22" spans="1:4" x14ac:dyDescent="0.3">
      <c r="A22" s="45"/>
      <c r="B22" s="29"/>
      <c r="C22" s="29"/>
      <c r="D22" s="29"/>
    </row>
    <row r="23" spans="1:4" x14ac:dyDescent="0.3">
      <c r="A23" s="47" t="s">
        <v>110</v>
      </c>
      <c r="B23" s="29"/>
      <c r="C23" s="29"/>
      <c r="D23" s="29"/>
    </row>
    <row r="24" spans="1:4" x14ac:dyDescent="0.3">
      <c r="A24" s="46" t="s">
        <v>111</v>
      </c>
      <c r="B24" s="29"/>
      <c r="C24" s="29"/>
      <c r="D24" s="29"/>
    </row>
    <row r="25" spans="1:4" x14ac:dyDescent="0.3">
      <c r="A25" s="46" t="s">
        <v>112</v>
      </c>
      <c r="B25" s="29"/>
      <c r="C25" s="29"/>
      <c r="D25" s="29"/>
    </row>
    <row r="26" spans="1:4" x14ac:dyDescent="0.3">
      <c r="A26" s="46" t="s">
        <v>113</v>
      </c>
      <c r="B26" s="29"/>
      <c r="C26" s="29"/>
      <c r="D26" s="29"/>
    </row>
    <row r="27" spans="1:4" x14ac:dyDescent="0.3">
      <c r="A27" s="46" t="s">
        <v>114</v>
      </c>
      <c r="B27" s="29"/>
      <c r="C27" s="29"/>
      <c r="D27" s="29"/>
    </row>
    <row r="28" spans="1:4" x14ac:dyDescent="0.3">
      <c r="A28" s="45"/>
      <c r="B28" s="29"/>
      <c r="C28" s="29"/>
      <c r="D28" s="29"/>
    </row>
    <row r="29" spans="1:4" x14ac:dyDescent="0.3">
      <c r="A29" s="47" t="s">
        <v>115</v>
      </c>
      <c r="B29" s="29"/>
      <c r="C29" s="29"/>
      <c r="D29" s="29"/>
    </row>
    <row r="30" spans="1:4" x14ac:dyDescent="0.3">
      <c r="A30" s="46" t="s">
        <v>116</v>
      </c>
      <c r="B30" s="29"/>
      <c r="C30" s="29"/>
      <c r="D30" s="29"/>
    </row>
    <row r="31" spans="1:4" x14ac:dyDescent="0.3">
      <c r="A31" s="46" t="s">
        <v>117</v>
      </c>
      <c r="B31" s="29"/>
      <c r="C31" s="29"/>
      <c r="D31" s="29"/>
    </row>
    <row r="32" spans="1:4" x14ac:dyDescent="0.3">
      <c r="A32" s="46" t="s">
        <v>118</v>
      </c>
      <c r="B32" s="29"/>
      <c r="C32" s="29"/>
      <c r="D32" s="29"/>
    </row>
    <row r="33" spans="1:4" x14ac:dyDescent="0.3">
      <c r="A33" s="45"/>
      <c r="B33" s="29"/>
      <c r="C33" s="29"/>
      <c r="D33" s="29"/>
    </row>
    <row r="34" spans="1:4" ht="15.6" x14ac:dyDescent="0.3">
      <c r="A34" s="48" t="s">
        <v>119</v>
      </c>
      <c r="B34" s="29"/>
      <c r="C34" s="29"/>
      <c r="D34" s="29"/>
    </row>
    <row r="35" spans="1:4" x14ac:dyDescent="0.3">
      <c r="A35" s="45"/>
      <c r="B35" s="29"/>
      <c r="C35" s="29"/>
      <c r="D35" s="29"/>
    </row>
    <row r="36" spans="1:4" x14ac:dyDescent="0.3">
      <c r="A36" s="45" t="s">
        <v>120</v>
      </c>
      <c r="B36" s="29"/>
      <c r="C36" s="29"/>
      <c r="D36" s="29"/>
    </row>
    <row r="37" spans="1:4" x14ac:dyDescent="0.3">
      <c r="A37" s="46" t="s">
        <v>121</v>
      </c>
      <c r="B37" s="29"/>
      <c r="C37" s="29"/>
      <c r="D37" s="29"/>
    </row>
    <row r="38" spans="1:4" x14ac:dyDescent="0.3">
      <c r="A38" s="46" t="s">
        <v>122</v>
      </c>
      <c r="B38" s="29"/>
      <c r="C38" s="29"/>
      <c r="D38" s="29"/>
    </row>
    <row r="39" spans="1:4" x14ac:dyDescent="0.3">
      <c r="A39" s="46" t="s">
        <v>123</v>
      </c>
      <c r="B39" s="29"/>
      <c r="C39" s="29"/>
      <c r="D39" s="29"/>
    </row>
    <row r="40" spans="1:4" x14ac:dyDescent="0.3">
      <c r="A40" s="46" t="s">
        <v>124</v>
      </c>
      <c r="B40" s="29"/>
      <c r="C40" s="29"/>
      <c r="D40" s="29"/>
    </row>
    <row r="41" spans="1:4" x14ac:dyDescent="0.3">
      <c r="A41" s="45"/>
      <c r="B41" s="29"/>
      <c r="C41" s="29"/>
      <c r="D41" s="29"/>
    </row>
    <row r="42" spans="1:4" x14ac:dyDescent="0.3">
      <c r="A42" s="45" t="s">
        <v>125</v>
      </c>
      <c r="B42" s="29"/>
      <c r="C42" s="29"/>
      <c r="D42" s="29"/>
    </row>
    <row r="43" spans="1:4" x14ac:dyDescent="0.3">
      <c r="A43" s="46" t="s">
        <v>126</v>
      </c>
      <c r="B43" s="29"/>
      <c r="C43" s="29"/>
      <c r="D43" s="29"/>
    </row>
    <row r="44" spans="1:4" x14ac:dyDescent="0.3">
      <c r="A44" s="46" t="s">
        <v>127</v>
      </c>
      <c r="B44" s="29"/>
      <c r="C44" s="29"/>
      <c r="D44" s="29"/>
    </row>
    <row r="45" spans="1:4" x14ac:dyDescent="0.3">
      <c r="A45" s="46" t="s">
        <v>128</v>
      </c>
      <c r="B45" s="29"/>
      <c r="C45" s="29"/>
      <c r="D45" s="29"/>
    </row>
    <row r="46" spans="1:4" x14ac:dyDescent="0.3">
      <c r="A46" s="45"/>
      <c r="B46" s="29"/>
      <c r="C46" s="29"/>
      <c r="D46" s="29"/>
    </row>
    <row r="47" spans="1:4" ht="15.6" x14ac:dyDescent="0.3">
      <c r="A47" s="48" t="s">
        <v>129</v>
      </c>
      <c r="B47" s="29"/>
      <c r="C47" s="29"/>
      <c r="D47" s="29"/>
    </row>
    <row r="48" spans="1:4" x14ac:dyDescent="0.3">
      <c r="A48" s="45"/>
      <c r="B48" s="29"/>
      <c r="C48" s="29"/>
      <c r="D48" s="29"/>
    </row>
    <row r="49" spans="1:4" x14ac:dyDescent="0.3">
      <c r="A49" s="46" t="s">
        <v>130</v>
      </c>
      <c r="B49" s="29"/>
      <c r="C49" s="29"/>
      <c r="D49" s="29"/>
    </row>
    <row r="50" spans="1:4" x14ac:dyDescent="0.3">
      <c r="A50" s="46" t="s">
        <v>131</v>
      </c>
      <c r="B50" s="29"/>
      <c r="C50" s="29"/>
      <c r="D50" s="29"/>
    </row>
    <row r="51" spans="1:4" x14ac:dyDescent="0.3">
      <c r="A51" s="46" t="s">
        <v>132</v>
      </c>
      <c r="B51" s="29"/>
      <c r="C51" s="29"/>
      <c r="D51" s="29"/>
    </row>
    <row r="52" spans="1:4" x14ac:dyDescent="0.3">
      <c r="A52" s="46" t="s">
        <v>133</v>
      </c>
      <c r="B52" s="29"/>
      <c r="C52" s="29"/>
      <c r="D52" s="29"/>
    </row>
    <row r="53" spans="1:4" x14ac:dyDescent="0.3">
      <c r="A53" s="46" t="s">
        <v>134</v>
      </c>
      <c r="B53" s="29"/>
      <c r="C53" s="29"/>
      <c r="D53" s="29"/>
    </row>
    <row r="54" spans="1:4" x14ac:dyDescent="0.3">
      <c r="A54" s="45"/>
      <c r="B54" s="29"/>
      <c r="C54" s="29"/>
      <c r="D54" s="29"/>
    </row>
    <row r="55" spans="1:4" ht="15.6" x14ac:dyDescent="0.3">
      <c r="A55" s="48" t="s">
        <v>135</v>
      </c>
      <c r="B55" s="29"/>
      <c r="C55" s="29"/>
      <c r="D55" s="29"/>
    </row>
  </sheetData>
  <mergeCells count="55">
    <mergeCell ref="A55:D55"/>
    <mergeCell ref="A2:D2"/>
    <mergeCell ref="A33:D33"/>
    <mergeCell ref="A47:D47"/>
    <mergeCell ref="A42:D42"/>
    <mergeCell ref="A32:D32"/>
    <mergeCell ref="A14:D14"/>
    <mergeCell ref="A54:D54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50:D50"/>
    <mergeCell ref="A21:D21"/>
    <mergeCell ref="A26:D26"/>
    <mergeCell ref="A49:D49"/>
    <mergeCell ref="A51:D51"/>
    <mergeCell ref="A36:D36"/>
    <mergeCell ref="A1:D1"/>
    <mergeCell ref="A45:D45"/>
    <mergeCell ref="A6:D6"/>
    <mergeCell ref="A3:D3"/>
    <mergeCell ref="A34:D34"/>
    <mergeCell ref="A48:D48"/>
    <mergeCell ref="A30:D30"/>
    <mergeCell ref="A39:D39"/>
    <mergeCell ref="A15:D15"/>
    <mergeCell ref="A24:D24"/>
    <mergeCell ref="A53:D53"/>
    <mergeCell ref="A35:D35"/>
    <mergeCell ref="A4:D4"/>
    <mergeCell ref="A20:D20"/>
    <mergeCell ref="A38:D38"/>
    <mergeCell ref="A29:D29"/>
    <mergeCell ref="A52:D52"/>
    <mergeCell ref="A43:D43"/>
    <mergeCell ref="A19:D19"/>
    <mergeCell ref="A10:D10"/>
    <mergeCell ref="A28:D28"/>
    <mergeCell ref="A13:D13"/>
    <mergeCell ref="A44:D44"/>
    <mergeCell ref="A40:D40"/>
    <mergeCell ref="A9:D9"/>
    <mergeCell ref="A31:D31"/>
    <mergeCell ref="A5:D5"/>
    <mergeCell ref="A17:D17"/>
    <mergeCell ref="A23:D23"/>
    <mergeCell ref="A8:D8"/>
    <mergeCell ref="A22:D2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Página inicial</vt:lpstr>
      <vt:lpstr>Processo 1</vt:lpstr>
      <vt:lpstr>Dashboard</vt:lpstr>
      <vt:lpstr>Análise de Desempenho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André Ribeiro Xavier</cp:lastModifiedBy>
  <dcterms:created xsi:type="dcterms:W3CDTF">2025-12-10T19:32:15Z</dcterms:created>
  <dcterms:modified xsi:type="dcterms:W3CDTF">2025-12-10T20:16:33Z</dcterms:modified>
</cp:coreProperties>
</file>