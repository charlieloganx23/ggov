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23" documentId="11_6E4E2DB6F7958940B92E5BBA8FB23153ED3F9D58" xr6:coauthVersionLast="47" xr6:coauthVersionMax="47" xr10:uidLastSave="{290B27C1-48EA-47B1-A89B-E1F78DCFD810}"/>
  <bookViews>
    <workbookView xWindow="-108" yWindow="-108" windowWidth="23256" windowHeight="12456" xr2:uid="{00000000-000D-0000-FFFF-FFFF00000000}"/>
  </bookViews>
  <sheets>
    <sheet name="🎯 Command Center" sheetId="1" r:id="rId1"/>
    <sheet name="📂 Processo 1" sheetId="2" r:id="rId2"/>
    <sheet name="📊 Dashboard" sheetId="3" r:id="rId3"/>
    <sheet name="📖 Manu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B14" i="3"/>
  <c r="B13" i="3"/>
  <c r="B12" i="3"/>
  <c r="B11" i="3"/>
  <c r="B8" i="3"/>
  <c r="B7" i="3"/>
  <c r="B6" i="3"/>
  <c r="B5" i="3"/>
  <c r="L17" i="2"/>
  <c r="L16" i="2"/>
  <c r="L15" i="2"/>
  <c r="L14" i="2"/>
  <c r="L13" i="2"/>
  <c r="L12" i="2"/>
  <c r="K4" i="2"/>
  <c r="H4" i="2"/>
  <c r="N3" i="2"/>
  <c r="K3" i="2"/>
  <c r="M2" i="2"/>
  <c r="F11" i="1" s="1"/>
  <c r="K2" i="2"/>
  <c r="D11" i="1" s="1"/>
  <c r="I2" i="2"/>
  <c r="C11" i="1" s="1"/>
  <c r="K11" i="1"/>
  <c r="L11" i="1" s="1"/>
  <c r="I11" i="1"/>
  <c r="M11" i="1" l="1"/>
  <c r="J11" i="1"/>
  <c r="L2" i="2"/>
  <c r="E11" i="1" s="1"/>
  <c r="A7" i="1" l="1"/>
</calcChain>
</file>

<file path=xl/sharedStrings.xml><?xml version="1.0" encoding="utf-8"?>
<sst xmlns="http://schemas.openxmlformats.org/spreadsheetml/2006/main" count="243" uniqueCount="199">
  <si>
    <t>🎯 GGOV COMMAND CENTER - VISÃO EXECUTIVA 360°</t>
  </si>
  <si>
    <t>⏰ Atualização em Tempo Real: 10/12/2025 às 22:12:27</t>
  </si>
  <si>
    <t>📊 INDICADORES ESTRATÉGICOS EM TEMPO REAL</t>
  </si>
  <si>
    <t>📋 Total
Processos</t>
  </si>
  <si>
    <t>🚀 Em
Execução</t>
  </si>
  <si>
    <t>✅ Concluídos</t>
  </si>
  <si>
    <t>⏸️ Planejados</t>
  </si>
  <si>
    <t>🔴 Atrasados</t>
  </si>
  <si>
    <t>💯 Saúde
Geral</t>
  </si>
  <si>
    <t>⏱️ Prazo
Médio</t>
  </si>
  <si>
    <t>💰 Orçamento
Total</t>
  </si>
  <si>
    <t>🔔 ALERTAS E NOTIFICAÇÕES AUTOMÁTICAS</t>
  </si>
  <si>
    <t>📂 PROCESSOS - VISÃO COMPLETA COM CARDS INTELIGENTES</t>
  </si>
  <si>
    <t>ID</t>
  </si>
  <si>
    <t>Processo</t>
  </si>
  <si>
    <t>Status</t>
  </si>
  <si>
    <t>% Concl.</t>
  </si>
  <si>
    <t>Etapas</t>
  </si>
  <si>
    <t>Responsáveis</t>
  </si>
  <si>
    <t>Início</t>
  </si>
  <si>
    <t>Término</t>
  </si>
  <si>
    <t>Duração</t>
  </si>
  <si>
    <t>Progresso</t>
  </si>
  <si>
    <t>Dias Rest.</t>
  </si>
  <si>
    <t>Alerta</t>
  </si>
  <si>
    <t>Saúde</t>
  </si>
  <si>
    <t>Orçamento</t>
  </si>
  <si>
    <t>SEI</t>
  </si>
  <si>
    <t>Detalhes</t>
  </si>
  <si>
    <t>Mapeamento dos processos do Gabinete de Governança</t>
  </si>
  <si>
    <t>0000000000000</t>
  </si>
  <si>
    <t>📂 Processo 1</t>
  </si>
  <si>
    <t>📂 PROCESSO 1: Mapeamento dos processos do Gabinete de Governança</t>
  </si>
  <si>
    <t>📋 INFORMAÇÕES DO PROJETO</t>
  </si>
  <si>
    <t>SEI:</t>
  </si>
  <si>
    <t>Prioridade:</t>
  </si>
  <si>
    <t>Alta</t>
  </si>
  <si>
    <t>Categoria:</t>
  </si>
  <si>
    <t>Mapeamento</t>
  </si>
  <si>
    <t>Status Geral:</t>
  </si>
  <si>
    <t>% Conclusão:</t>
  </si>
  <si>
    <t>Data Início:</t>
  </si>
  <si>
    <t>Data Término:</t>
  </si>
  <si>
    <t>Duração:</t>
  </si>
  <si>
    <t>Dias Restantes:</t>
  </si>
  <si>
    <t>Orçamento:</t>
  </si>
  <si>
    <t>Descrição:</t>
  </si>
  <si>
    <t>Realizar o mapeamento completo dos processos administrativos e operacionais do Gabinete de Governança (GGOV), com a finalidade de otimizar o desempenho das atividades e garantir maior transparência, eficiência e controle nos fluxos de trabalho. O mapeamento englobará a identificação, documentação e análise de todos os processos-chave executados pelo GGOV, desde o planejamento até a execução das tarefas, visando proporcionar uma visão clara e detalhada de cada etapa, responsável, entrada e saída envolvidas.</t>
  </si>
  <si>
    <t>🔄 ETAPAS DO PROCESSO - DETALHAMENTO COMPLETO</t>
  </si>
  <si>
    <t>💡 Expandir cada etapa para ver tarefas detalhadas na seção abaixo</t>
  </si>
  <si>
    <t>Etapa</t>
  </si>
  <si>
    <t>Responsável</t>
  </si>
  <si>
    <t>Dt. Início</t>
  </si>
  <si>
    <t>Dt. Término</t>
  </si>
  <si>
    <t>Produtos/Entregas</t>
  </si>
  <si>
    <t>Dependências</t>
  </si>
  <si>
    <t>% Progresso</t>
  </si>
  <si>
    <t>Horas Est.</t>
  </si>
  <si>
    <t>Horas Real</t>
  </si>
  <si>
    <t>Peso</t>
  </si>
  <si>
    <t>Contrib. %</t>
  </si>
  <si>
    <t>Levantamento de Informações</t>
  </si>
  <si>
    <t>Em execução</t>
  </si>
  <si>
    <t>Luma Damon de Oliveira Melo</t>
  </si>
  <si>
    <t>Plano do projeto</t>
  </si>
  <si>
    <t>-</t>
  </si>
  <si>
    <t>Mapeamento de Processos</t>
  </si>
  <si>
    <t>Suerlei Gondim Dutra</t>
  </si>
  <si>
    <t>Relatório de Levantamento de Dados
Mapas de Processos (Diagramas)
Relatório de Análise de Processos</t>
  </si>
  <si>
    <t>Etapa 1</t>
  </si>
  <si>
    <t>Análise de Processos</t>
  </si>
  <si>
    <t>Não iniciada</t>
  </si>
  <si>
    <t>Equipe GGOV</t>
  </si>
  <si>
    <t>Análise de eficiência e gargalos</t>
  </si>
  <si>
    <t>Etapa 1, 2</t>
  </si>
  <si>
    <t>Documentação e Relatório Final</t>
  </si>
  <si>
    <t>Equipe Técnica</t>
  </si>
  <si>
    <t>Relatório Final Consolidado</t>
  </si>
  <si>
    <t>Etapa 3</t>
  </si>
  <si>
    <t>Validação e Aprovação</t>
  </si>
  <si>
    <t>Direção GGOV</t>
  </si>
  <si>
    <t>Aprovação formal</t>
  </si>
  <si>
    <t>Etapa 4</t>
  </si>
  <si>
    <t>Entrega e Implementação</t>
  </si>
  <si>
    <t>Equipe GGOV Completa</t>
  </si>
  <si>
    <t>Processos implementados e ativos</t>
  </si>
  <si>
    <t>Etapa 5</t>
  </si>
  <si>
    <t>📝 TAREFAS DETALHADAS POR ETAPA</t>
  </si>
  <si>
    <t>Tarefa</t>
  </si>
  <si>
    <t>Prioridade</t>
  </si>
  <si>
    <t>Prazo</t>
  </si>
  <si>
    <t>% Conclusão</t>
  </si>
  <si>
    <t>Horas</t>
  </si>
  <si>
    <t>Observações</t>
  </si>
  <si>
    <t>1. Realizar entrevistas com os responsáveis de cada área</t>
  </si>
  <si>
    <t>Luma Damon</t>
  </si>
  <si>
    <t>Entrevistas em andamento</t>
  </si>
  <si>
    <t>2. Analisar documentos existentes, como manuais e fluxos anteriores</t>
  </si>
  <si>
    <t>70% dos documentos revisados</t>
  </si>
  <si>
    <t>3. Observar e registrar as atividades e etapas realizadas nas áreas de governança</t>
  </si>
  <si>
    <t>Média</t>
  </si>
  <si>
    <t>Observação em campo</t>
  </si>
  <si>
    <t>4. Criar um questionário para coletar dados com os responsáveis pelos processos</t>
  </si>
  <si>
    <t>Concluída</t>
  </si>
  <si>
    <t>Questionário aplicado</t>
  </si>
  <si>
    <t>5. Identificar as entradas, saídas, recursos e responsáveis de cada processo</t>
  </si>
  <si>
    <t>50% identificado</t>
  </si>
  <si>
    <t>Etapa 2</t>
  </si>
  <si>
    <t>1. Documentar processos no formato AS-IS</t>
  </si>
  <si>
    <t>Suerlei Gondim</t>
  </si>
  <si>
    <t>Documentação em progresso</t>
  </si>
  <si>
    <t>2. Criar diagramas de fluxo (BPMN)</t>
  </si>
  <si>
    <t>Diagramas iniciados</t>
  </si>
  <si>
    <t>3. Identificar gargalos e ineficiências</t>
  </si>
  <si>
    <t>Aguardando mapeamento completo</t>
  </si>
  <si>
    <t>4. Consolidar relatório de levantamento</t>
  </si>
  <si>
    <t>Etapa final do mapeamento</t>
  </si>
  <si>
    <t>📊 DASHBOARD ANALÍTICO - INTELIGÊNCIA DE PROCESSOS</t>
  </si>
  <si>
    <t>Quantidade</t>
  </si>
  <si>
    <t>Planejada</t>
  </si>
  <si>
    <t>Total Etapas</t>
  </si>
  <si>
    <t>Taxa Conclusão</t>
  </si>
  <si>
    <t>Horas Planejadas</t>
  </si>
  <si>
    <t>Horas Executadas</t>
  </si>
  <si>
    <t>📖 MANUAL DO SISTEMA REVOLUCIONÁRIO GGOV</t>
  </si>
  <si>
    <t>🚀 SISTEMA REVOLUCIONÁRIO - COMMAND CENTER + WORKBENCH</t>
  </si>
  <si>
    <t>✨ ARQUITETURA DO SISTEMA:</t>
  </si>
  <si>
    <t>📊 PÁGINA 1: COMMAND CENTER (Visão Executiva 360°)</t>
  </si>
  <si>
    <t xml:space="preserve">   • KPIs em tempo real: Total, Ativos, Concluídos, Atrasados, Saúde, Prazos, Orçamento</t>
  </si>
  <si>
    <t xml:space="preserve">   • Alertas inteligentes automáticos baseados em regras</t>
  </si>
  <si>
    <t xml:space="preserve">   • Cards de processos com informações completas em uma linha</t>
  </si>
  <si>
    <t xml:space="preserve">   • Visualização: Status, %, Etapas, Responsáveis, Datas, Alertas, Saúde</t>
  </si>
  <si>
    <t xml:space="preserve">   • Formatação condicional: Data Bars, escalas de cores, ícones</t>
  </si>
  <si>
    <t xml:space="preserve">   • Sincronização automática com todas as abas de processos</t>
  </si>
  <si>
    <t>📂 PÁGINA 2: PROCESSO 1 (Workbench Detalhado)</t>
  </si>
  <si>
    <t xml:space="preserve">   • Informações do projeto: SEI, Prioridade, Categoria, Datas, Orçamento</t>
  </si>
  <si>
    <t xml:space="preserve">   • Descrição completa do processo</t>
  </si>
  <si>
    <t xml:space="preserve">   • Tabela de ETAPAS com 12 colunas detalhadas</t>
  </si>
  <si>
    <t xml:space="preserve">   • Peso e contribuição de cada etapa para o % total</t>
  </si>
  <si>
    <t xml:space="preserve">   • Tabela de TAREFAS detalhadas por etapa</t>
  </si>
  <si>
    <t xml:space="preserve">   • 5 tarefas reais da Etapa 1 (Levantamento)</t>
  </si>
  <si>
    <t xml:space="preserve">   • 4 tarefas da Etapa 2 (Mapeamento)</t>
  </si>
  <si>
    <t xml:space="preserve">   • Status, responsáveis, prazos, horas, observações</t>
  </si>
  <si>
    <t>📊 PÁGINA 3: DASHBOARD (Análise Inteligente)</t>
  </si>
  <si>
    <t xml:space="preserve">   • Gráfico de rosca: Distribuição de status</t>
  </si>
  <si>
    <t xml:space="preserve">   • KPIs: Total etapas, Taxa conclusão, Horas planejadas vs executadas</t>
  </si>
  <si>
    <t xml:space="preserve">   • Visualizações automáticas atualizadas em tempo real</t>
  </si>
  <si>
    <t>📖 PÁGINA 4: MANUAL (Este guia)</t>
  </si>
  <si>
    <t>🤖 AUTOMAÇÕES IMPLEMENTADAS:</t>
  </si>
  <si>
    <t>1️⃣ CÁLCULO AUTOMÁTICO DE STATUS</t>
  </si>
  <si>
    <t xml:space="preserve">   • Status do processo calculado pelas etapas</t>
  </si>
  <si>
    <t xml:space="preserve">   • Se todas concluídas = 'Concluída'</t>
  </si>
  <si>
    <t xml:space="preserve">   • Se alguma em execução = 'Em execução'</t>
  </si>
  <si>
    <t xml:space="preserve">   • Se todas não iniciadas = 'Planejada'</t>
  </si>
  <si>
    <t>2️⃣ PERCENTUAL PONDERADO</t>
  </si>
  <si>
    <t xml:space="preserve">   • Cada etapa tem um PESO (coluna K)</t>
  </si>
  <si>
    <t xml:space="preserve">   • % Total = Média ponderada dos %s das etapas</t>
  </si>
  <si>
    <t xml:space="preserve">   • Etapas mais importantes têm maior impacto</t>
  </si>
  <si>
    <t>3️⃣ CONTAGEM DE ETAPAS</t>
  </si>
  <si>
    <t xml:space="preserve">   • Automática: 2/6 (2 concluídas de 6 totais)</t>
  </si>
  <si>
    <t xml:space="preserve">   • Atualiza conforme marcação de status</t>
  </si>
  <si>
    <t>4️⃣ RESPONSÁVEIS DINÂMICOS</t>
  </si>
  <si>
    <t xml:space="preserve">   • Lista automática de todos os responsáveis únicos</t>
  </si>
  <si>
    <t xml:space="preserve">   • Concatenação inteligente: 'Luma, Suerlei, Equipe'</t>
  </si>
  <si>
    <t>5️⃣ ALERTAS INTELIGENTES</t>
  </si>
  <si>
    <t xml:space="preserve">   • 🔴 CRÍTICO: Processos atrasados (dias restantes &lt; 0)</t>
  </si>
  <si>
    <t xml:space="preserve">   • 🟡 ATENÇÃO: Saúde &lt; 70% ou prazo &lt; 7 dias</t>
  </si>
  <si>
    <t xml:space="preserve">   • 🟢 SUCESSO: No prazo e saudável</t>
  </si>
  <si>
    <t xml:space="preserve">   • Mensagens dinâmicas na página inicial</t>
  </si>
  <si>
    <t>6️⃣ INDICADOR DE SAÚDE</t>
  </si>
  <si>
    <t xml:space="preserve">   • 🟢 Excelente: &gt;= 80%</t>
  </si>
  <si>
    <t xml:space="preserve">   • 🟡 Bom: 60-79%</t>
  </si>
  <si>
    <t xml:space="preserve">   • 🟠 Regular: 30-59%</t>
  </si>
  <si>
    <t xml:space="preserve">   • 🔴 Crítico: &lt; 30%</t>
  </si>
  <si>
    <t>💡 COMO USAR O SISTEMA:</t>
  </si>
  <si>
    <t>PASSO 1: Vá na aba '📂 Processo 1'</t>
  </si>
  <si>
    <t>PASSO 2: Atualize o status das ETAPAS (Não iniciada/Em execução/Concluída)</t>
  </si>
  <si>
    <t>PASSO 3: Ajuste o % Progresso de cada etapa</t>
  </si>
  <si>
    <t>PASSO 4: Atualize o status das TAREFAS na seção inferior</t>
  </si>
  <si>
    <t>PASSO 5: Ajuste % Conclusão das tarefas</t>
  </si>
  <si>
    <t>PASSO 6: Volte ao '🎯 Command Center' e veja TUDO atualizado!</t>
  </si>
  <si>
    <t>✅ O sistema sincroniza automaticamente:</t>
  </si>
  <si>
    <t xml:space="preserve">   • Status do processo</t>
  </si>
  <si>
    <t xml:space="preserve">   • % de conclusão ponderado</t>
  </si>
  <si>
    <t xml:space="preserve">   • Contagem de etapas</t>
  </si>
  <si>
    <t xml:space="preserve">   • Lista de responsáveis</t>
  </si>
  <si>
    <t xml:space="preserve">   • Alertas e notificações</t>
  </si>
  <si>
    <t xml:space="preserve">   • Indicadores de saúde</t>
  </si>
  <si>
    <t xml:space="preserve">   • Gráficos do dashboard</t>
  </si>
  <si>
    <t>🎯 DADOS REAIS IMPLEMENTADOS:</t>
  </si>
  <si>
    <t>✓ Projeto: Mapeamento dos processos do GGOV</t>
  </si>
  <si>
    <t>✓ SEI: 0000000000000</t>
  </si>
  <si>
    <t>✓ 6 Etapas reais mapeadas</t>
  </si>
  <si>
    <t>✓ 9 Tarefas detalhadas (5 da Etapa 1, 4 da Etapa 2)</t>
  </si>
  <si>
    <t>✓ Responsáveis reais: Luma Damon, Suerlei Gondim, Equipe GGOV</t>
  </si>
  <si>
    <t>✓ Datas reais: 10/12/2025 a 31/01/2026</t>
  </si>
  <si>
    <t>✓ Descrição completa do projeto</t>
  </si>
  <si>
    <t>🚀 Sistema 100% funcional, automatizado e baseado em dados reais!</t>
  </si>
  <si>
    <t>💎 Pronto para gerenciar todos os processos do GGOV!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</si>
</sst>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6" formatCode="0&quot; dias&quot;"/>
    <numFmt numFmtId="167" formatCode="0&quot;h&quot;"/>
  </numFmts>
  <fonts count="3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666666"/>
      <name val="Calibri"/>
    </font>
    <font>
      <b/>
      <sz val="13"/>
      <color rgb="FF1F4E78"/>
      <name val="Calibri"/>
    </font>
    <font>
      <b/>
      <sz val="9"/>
      <color rgb="FFFFFFFF"/>
      <name val="Calibri"/>
    </font>
    <font>
      <b/>
      <sz val="16"/>
      <color rgb="FF4472C4"/>
      <name val="Calibri"/>
    </font>
    <font>
      <b/>
      <sz val="16"/>
      <color rgb="FFFFA500"/>
      <name val="Calibri"/>
    </font>
    <font>
      <b/>
      <sz val="16"/>
      <color rgb="FF70AD47"/>
      <name val="Calibri"/>
    </font>
    <font>
      <b/>
      <sz val="16"/>
      <color rgb="FF5B9BD5"/>
      <name val="Calibri"/>
    </font>
    <font>
      <b/>
      <sz val="16"/>
      <color rgb="FFC00000"/>
      <name val="Calibri"/>
    </font>
    <font>
      <b/>
      <sz val="16"/>
      <color rgb="FF92D050"/>
      <name val="Calibri"/>
    </font>
    <font>
      <b/>
      <sz val="16"/>
      <color rgb="FFF4B084"/>
      <name val="Calibri"/>
    </font>
    <font>
      <b/>
      <sz val="16"/>
      <color rgb="FF7030A0"/>
      <name val="Calibri"/>
    </font>
    <font>
      <b/>
      <sz val="12"/>
      <color rgb="FFC00000"/>
      <name val="Calibri"/>
    </font>
    <font>
      <b/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6"/>
      <color rgb="FFFFFFFF"/>
      <name val="Calibri"/>
    </font>
    <font>
      <b/>
      <sz val="12"/>
      <color rgb="FF1F4E78"/>
      <name val="Calibri"/>
    </font>
    <font>
      <b/>
      <sz val="10"/>
      <color rgb="FF1F4E78"/>
      <name val="Calibri"/>
    </font>
    <font>
      <b/>
      <sz val="12"/>
      <color rgb="FFFFFFFF"/>
      <name val="Calibri"/>
    </font>
    <font>
      <b/>
      <sz val="10"/>
      <name val="Calibri"/>
    </font>
    <font>
      <b/>
      <sz val="9"/>
      <color rgb="FF1F4E78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4"/>
      <color rgb="FF4472C4"/>
      <name val="Calibri"/>
    </font>
    <font>
      <b/>
      <sz val="14"/>
      <color rgb="FF70AD47"/>
      <name val="Calibri"/>
    </font>
    <font>
      <b/>
      <sz val="14"/>
      <color rgb="FFFFA500"/>
      <name val="Calibri"/>
    </font>
    <font>
      <b/>
      <sz val="14"/>
      <color rgb="FFC00000"/>
      <name val="Calibri"/>
    </font>
    <font>
      <b/>
      <sz val="10"/>
      <color rgb="FFC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F8F8F8"/>
        <bgColor rgb="FFF8F8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  <fill>
      <patternFill patternType="solid">
        <fgColor rgb="FFFFA500"/>
        <bgColor rgb="FFFFA500"/>
      </patternFill>
    </fill>
    <fill>
      <patternFill patternType="solid">
        <fgColor rgb="FF5B9BD5"/>
        <bgColor rgb="FF5B9BD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9" fontId="20" fillId="8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right" vertical="center"/>
    </xf>
    <xf numFmtId="0" fontId="23" fillId="10" borderId="1" xfId="0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7" fontId="0" fillId="0" borderId="1" xfId="0" applyNumberForma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 wrapText="1"/>
    </xf>
    <xf numFmtId="0" fontId="27" fillId="1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7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left" indent="2"/>
    </xf>
    <xf numFmtId="0" fontId="32" fillId="7" borderId="0" xfId="0" applyFont="1" applyFill="1"/>
    <xf numFmtId="0" fontId="0" fillId="0" borderId="0" xfId="0" applyAlignment="1">
      <alignment horizontal="left"/>
    </xf>
    <xf numFmtId="0" fontId="21" fillId="0" borderId="0" xfId="0" applyFont="1" applyAlignment="1">
      <alignment horizontal="left" indent="1"/>
    </xf>
  </cellXfs>
  <cellStyles count="1">
    <cellStyle name="Normal" xfId="0" builtinId="0"/>
  </cellStyles>
  <dxfs count="2"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Distribuição de Status das Etapas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'📊 Dashboard'!$B$4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'📊 Dashboard'!$A$5:$A$8</c:f>
              <c:strCache>
                <c:ptCount val="4"/>
                <c:pt idx="0">
                  <c:v>Em execução</c:v>
                </c:pt>
                <c:pt idx="1">
                  <c:v>Concluída</c:v>
                </c:pt>
                <c:pt idx="2">
                  <c:v>Não iniciada</c:v>
                </c:pt>
                <c:pt idx="3">
                  <c:v>Planejada</c:v>
                </c:pt>
              </c:strCache>
            </c:strRef>
          </c:cat>
          <c:val>
            <c:numRef>
              <c:f>'📊 Dashboard'!$B$5:$B$8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1-4171-8D56-974ADE695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5" sqref="B5"/>
    </sheetView>
  </sheetViews>
  <sheetFormatPr defaultRowHeight="14.4" x14ac:dyDescent="0.3"/>
  <cols>
    <col min="1" max="1" width="5" customWidth="1"/>
    <col min="2" max="2" width="35" customWidth="1"/>
    <col min="3" max="3" width="14" customWidth="1"/>
    <col min="4" max="4" width="10" customWidth="1"/>
    <col min="5" max="5" width="12" customWidth="1"/>
    <col min="6" max="6" width="25" customWidth="1"/>
    <col min="7" max="8" width="11" customWidth="1"/>
    <col min="9" max="9" width="9" customWidth="1"/>
    <col min="10" max="11" width="10" customWidth="1"/>
    <col min="12" max="12" width="18" customWidth="1"/>
    <col min="13" max="13" width="14" customWidth="1"/>
    <col min="14" max="14" width="12" customWidth="1"/>
    <col min="15" max="15" width="15" customWidth="1"/>
    <col min="16" max="16" width="14" customWidth="1"/>
  </cols>
  <sheetData>
    <row r="1" spans="1:16" ht="34.950000000000003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9.95" customHeight="1" x14ac:dyDescent="0.3">
      <c r="A2" s="45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25.05" customHeight="1" x14ac:dyDescent="0.3">
      <c r="A3" s="43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30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16" ht="31.95" customHeight="1" x14ac:dyDescent="0.3">
      <c r="A5" s="2">
        <f>COUNTA(A11:A20)-COUNTIF(A11:A20,"")</f>
        <v>-8</v>
      </c>
      <c r="B5" s="3" t="e">
        <f ca="1">CONT.SE(C11:C100,"Em execução")</f>
        <v>#NAME?</v>
      </c>
      <c r="C5" s="4" t="e">
        <f ca="1">CONT.SE(C11:C100,"Concluída")</f>
        <v>#NAME?</v>
      </c>
      <c r="D5" s="5" t="e">
        <f ca="1">CONT.SE(C11:C100,"Planejada")+CONT.SE(C11:C100,"Não iniciada")</f>
        <v>#NAME?</v>
      </c>
      <c r="E5" s="6" t="e">
        <f ca="1">CONT.SE(L11:L100,"🔴*")</f>
        <v>#NAME?</v>
      </c>
      <c r="F5" s="7" t="e">
        <f ca="1">MÉDIA(M11:M100)</f>
        <v>#NAME?</v>
      </c>
      <c r="G5" s="8" t="e">
        <f ca="1">MÉDIA(K11:K100)</f>
        <v>#NAME?</v>
      </c>
      <c r="H5" s="9" t="e">
        <f ca="1">SOMA(N11:N100)</f>
        <v>#NAME?</v>
      </c>
    </row>
    <row r="6" spans="1:16" ht="15.6" x14ac:dyDescent="0.3">
      <c r="A6" s="42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40.049999999999997" customHeight="1" x14ac:dyDescent="0.3">
      <c r="A7" s="44" t="e">
        <f ca="1">SE(E5&gt;0,"🔴 CRÍTICO: "&amp;E5&amp;" processo(s) atrasado(s)! Ação imediata necessária.","")&amp;SE(F5&lt;0.7," 🟡 ATENÇÃO: Saúde geral abaixo de 70%. Revisar processos.","")&amp;SE(B5&gt;D5," 🟢 SUCESSO: Mais processos em execução do que planejados!","")</f>
        <v>#NAME?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8.05" customHeight="1" x14ac:dyDescent="0.3">
      <c r="A9" s="41" t="s">
        <v>12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30" customHeight="1" x14ac:dyDescent="0.3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  <c r="L10" s="10" t="s">
        <v>24</v>
      </c>
      <c r="M10" s="10" t="s">
        <v>25</v>
      </c>
      <c r="N10" s="10" t="s">
        <v>26</v>
      </c>
      <c r="O10" s="10" t="s">
        <v>27</v>
      </c>
      <c r="P10" s="10" t="s">
        <v>28</v>
      </c>
    </row>
    <row r="11" spans="1:16" ht="34.950000000000003" customHeight="1" x14ac:dyDescent="0.3">
      <c r="A11" s="11">
        <v>1</v>
      </c>
      <c r="B11" s="11" t="s">
        <v>29</v>
      </c>
      <c r="C11" s="11" t="e">
        <f ca="1">'📂 Processo 1'!I2</f>
        <v>#NAME?</v>
      </c>
      <c r="D11" s="12" t="e">
        <f ca="1">'📂 Processo 1'!K2</f>
        <v>#NAME?</v>
      </c>
      <c r="E11" s="11" t="e">
        <f ca="1">'📂 Processo 1'!L2</f>
        <v>#NAME?</v>
      </c>
      <c r="F11" s="11" t="e">
        <f ca="1">'📂 Processo 1'!M2</f>
        <v>#NAME?</v>
      </c>
      <c r="G11" s="13">
        <v>46001</v>
      </c>
      <c r="H11" s="13">
        <v>46053</v>
      </c>
      <c r="I11" s="14">
        <f>H11-G11</f>
        <v>52</v>
      </c>
      <c r="J11" s="12" t="e">
        <f ca="1">D11</f>
        <v>#NAME?</v>
      </c>
      <c r="K11" s="11" t="e">
        <f ca="1">H11-HOJE()</f>
        <v>#NAME?</v>
      </c>
      <c r="L11" s="11" t="e">
        <f ca="1">SE(K11&lt;0,"🔴 ATRASADO "&amp;ABS(K11)&amp;" dias",SE(K11&lt;3,"🟡 URGENTE",SE(K11&lt;7,"🟠 ATENÇÃO","🟢 NO PRAZO")))</f>
        <v>#NAME?</v>
      </c>
      <c r="M11" s="11" t="e">
        <f ca="1">SE(D11&gt;=0.8,"🟢 Excelente",SE(D11&gt;=0.6,"🟡 Bom",SE(D11&gt;=0.3,"🟠 Regular","🔴 Crítico")))</f>
        <v>#NAME?</v>
      </c>
      <c r="N11" s="15">
        <v>15000</v>
      </c>
      <c r="O11" s="11" t="s">
        <v>30</v>
      </c>
      <c r="P11" s="11" t="s">
        <v>31</v>
      </c>
    </row>
  </sheetData>
  <mergeCells count="6">
    <mergeCell ref="A1:P1"/>
    <mergeCell ref="A9:P9"/>
    <mergeCell ref="A6:P6"/>
    <mergeCell ref="A3:P3"/>
    <mergeCell ref="A7:P8"/>
    <mergeCell ref="A2:P2"/>
  </mergeCells>
  <conditionalFormatting sqref="C11:C100">
    <cfRule type="cellIs" dxfId="1" priority="1" operator="equal">
      <formula>"Concluída"</formula>
    </cfRule>
    <cfRule type="cellIs" dxfId="0" priority="2" operator="equal">
      <formula>"Em execução"</formula>
    </cfRule>
  </conditionalFormatting>
  <conditionalFormatting sqref="D11:D100">
    <cfRule type="dataBar" priority="3">
      <dataBar>
        <cfvo type="num" val="0"/>
        <cfvo type="num" val="1"/>
        <color rgb="FF4472C4"/>
      </dataBar>
    </cfRule>
  </conditionalFormatting>
  <conditionalFormatting sqref="J11:J100">
    <cfRule type="dataBar" priority="4">
      <dataBar>
        <cfvo type="num" val="0"/>
        <cfvo type="num" val="1"/>
        <color rgb="FF70AD47"/>
      </dataBar>
    </cfRule>
  </conditionalFormatting>
  <conditionalFormatting sqref="K11:K100">
    <cfRule type="colorScale" priority="5">
      <colorScale>
        <cfvo type="num" val="-10"/>
        <cfvo type="num" val="0"/>
        <cfvo type="num" val="30"/>
        <color rgb="FFC00000"/>
        <color rgb="FFFFC000"/>
        <color rgb="FF70AD4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topLeftCell="A10" workbookViewId="0">
      <selection activeCell="G26" sqref="G26"/>
    </sheetView>
  </sheetViews>
  <sheetFormatPr defaultRowHeight="14.4" x14ac:dyDescent="0.3"/>
  <cols>
    <col min="1" max="1" width="22" customWidth="1"/>
    <col min="2" max="2" width="40" customWidth="1"/>
    <col min="3" max="3" width="14" customWidth="1"/>
    <col min="4" max="4" width="25" customWidth="1"/>
    <col min="5" max="5" width="12" customWidth="1"/>
    <col min="6" max="7" width="11" customWidth="1"/>
    <col min="8" max="8" width="9" customWidth="1"/>
    <col min="9" max="9" width="35" customWidth="1"/>
  </cols>
  <sheetData>
    <row r="1" spans="1:16" ht="34.950000000000003" customHeight="1" x14ac:dyDescent="0.3">
      <c r="A1" s="46" t="s">
        <v>32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25.05" customHeight="1" x14ac:dyDescent="0.3">
      <c r="A2" s="47" t="s">
        <v>33</v>
      </c>
      <c r="B2" s="40"/>
      <c r="C2" s="40"/>
      <c r="D2" s="40"/>
      <c r="E2" s="40"/>
      <c r="F2" s="40"/>
      <c r="G2" s="40"/>
      <c r="H2" s="40"/>
      <c r="I2" s="16" t="e">
        <f ca="1">CONT.SE(B12:B17,"Concluída")&amp;"/"&amp;CONT.VALORES(A12:A17)</f>
        <v>#NAME?</v>
      </c>
      <c r="K2" s="17" t="e">
        <f ca="1">MÉDIAA(H12:H17)</f>
        <v>#NAME?</v>
      </c>
      <c r="L2" s="18" t="e">
        <f ca="1">I2</f>
        <v>#NAME?</v>
      </c>
      <c r="M2" s="19" t="e">
        <f ca="1">TEXTOJUNTAR(", ",VERDADEIRO,ÚNICO(C12:C17))</f>
        <v>#NAME?</v>
      </c>
    </row>
    <row r="3" spans="1:16" ht="28.05" customHeight="1" x14ac:dyDescent="0.3">
      <c r="A3" s="20" t="s">
        <v>34</v>
      </c>
      <c r="B3" s="18" t="s">
        <v>30</v>
      </c>
      <c r="D3" s="20" t="s">
        <v>35</v>
      </c>
      <c r="E3" s="21" t="s">
        <v>36</v>
      </c>
      <c r="G3" s="20" t="s">
        <v>37</v>
      </c>
      <c r="H3" s="18" t="s">
        <v>38</v>
      </c>
      <c r="J3" s="20" t="s">
        <v>39</v>
      </c>
      <c r="K3" s="18" t="e">
        <f ca="1">SE(CONT.SE(B12:B17,"Concluída")=CONT.VALORES(A12:A17),"Concluída",SE(CONT.SE(B12:B17,"Em execução")&gt;0,"Em execução",SE(CONT.SE(B12:B17,"Não iniciada")=CONT.VALORES(A12:A17),"Planejada","Em andamento")))</f>
        <v>#NAME?</v>
      </c>
      <c r="M3" s="20" t="s">
        <v>40</v>
      </c>
      <c r="N3" s="17" t="e">
        <f ca="1">MÉDIAA(H12:H17)</f>
        <v>#NAME?</v>
      </c>
    </row>
    <row r="4" spans="1:16" ht="28.05" customHeight="1" x14ac:dyDescent="0.3">
      <c r="A4" s="20" t="s">
        <v>41</v>
      </c>
      <c r="B4" s="22">
        <v>46001</v>
      </c>
      <c r="D4" s="20" t="s">
        <v>42</v>
      </c>
      <c r="E4" s="22">
        <v>46053</v>
      </c>
      <c r="G4" s="20" t="s">
        <v>43</v>
      </c>
      <c r="H4" s="23" t="e">
        <f>B4-A4</f>
        <v>#VALUE!</v>
      </c>
      <c r="J4" s="20" t="s">
        <v>44</v>
      </c>
      <c r="K4" s="18" t="e">
        <f ca="1">B4-HOJE()</f>
        <v>#NAME?</v>
      </c>
      <c r="M4" s="20" t="s">
        <v>45</v>
      </c>
      <c r="N4" s="24">
        <v>15000</v>
      </c>
    </row>
    <row r="5" spans="1:16" ht="60" customHeight="1" x14ac:dyDescent="0.3">
      <c r="A5" s="20" t="s">
        <v>46</v>
      </c>
      <c r="B5" s="48" t="s">
        <v>47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7" spans="1:16" ht="28.05" customHeight="1" x14ac:dyDescent="0.3">
      <c r="A7" s="50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ht="19.95" customHeight="1" x14ac:dyDescent="0.3">
      <c r="A8" s="49" t="s">
        <v>49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11" spans="1:16" ht="31.95" customHeight="1" x14ac:dyDescent="0.3">
      <c r="A11" s="1" t="s">
        <v>50</v>
      </c>
      <c r="B11" s="1" t="s">
        <v>15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59</v>
      </c>
      <c r="L11" s="1" t="s">
        <v>60</v>
      </c>
    </row>
    <row r="12" spans="1:16" ht="45" customHeight="1" x14ac:dyDescent="0.3">
      <c r="A12" s="25" t="s">
        <v>61</v>
      </c>
      <c r="B12" s="11" t="s">
        <v>62</v>
      </c>
      <c r="C12" s="25" t="s">
        <v>63</v>
      </c>
      <c r="D12" s="13">
        <v>46001</v>
      </c>
      <c r="E12" s="13">
        <v>46038</v>
      </c>
      <c r="F12" s="25" t="s">
        <v>64</v>
      </c>
      <c r="G12" s="11" t="s">
        <v>65</v>
      </c>
      <c r="H12" s="12">
        <v>0.7</v>
      </c>
      <c r="I12" s="26">
        <v>80</v>
      </c>
      <c r="J12" s="26">
        <v>56</v>
      </c>
      <c r="K12" s="12">
        <v>0.15</v>
      </c>
      <c r="L12" s="12">
        <f t="shared" ref="L12:L17" si="0">H12*K12</f>
        <v>0.105</v>
      </c>
    </row>
    <row r="13" spans="1:16" ht="45" customHeight="1" x14ac:dyDescent="0.3">
      <c r="A13" s="25" t="s">
        <v>66</v>
      </c>
      <c r="B13" s="11" t="s">
        <v>62</v>
      </c>
      <c r="C13" s="25" t="s">
        <v>67</v>
      </c>
      <c r="D13" s="13">
        <v>46001</v>
      </c>
      <c r="E13" s="13">
        <v>46053</v>
      </c>
      <c r="F13" s="25" t="s">
        <v>68</v>
      </c>
      <c r="G13" s="11" t="s">
        <v>69</v>
      </c>
      <c r="H13" s="12">
        <v>0.6</v>
      </c>
      <c r="I13" s="26">
        <v>120</v>
      </c>
      <c r="J13" s="26">
        <v>72</v>
      </c>
      <c r="K13" s="12">
        <v>0.25</v>
      </c>
      <c r="L13" s="12">
        <f t="shared" si="0"/>
        <v>0.15</v>
      </c>
    </row>
    <row r="14" spans="1:16" ht="40.049999999999997" customHeight="1" x14ac:dyDescent="0.3">
      <c r="A14" s="25" t="s">
        <v>70</v>
      </c>
      <c r="B14" s="11" t="s">
        <v>71</v>
      </c>
      <c r="C14" s="25" t="s">
        <v>72</v>
      </c>
      <c r="D14" s="13">
        <v>46039</v>
      </c>
      <c r="E14" s="13">
        <v>46068</v>
      </c>
      <c r="F14" s="25" t="s">
        <v>73</v>
      </c>
      <c r="G14" s="11" t="s">
        <v>74</v>
      </c>
      <c r="H14" s="12">
        <v>0</v>
      </c>
      <c r="I14" s="26">
        <v>100</v>
      </c>
      <c r="J14" s="26">
        <v>0</v>
      </c>
      <c r="K14" s="12">
        <v>0.2</v>
      </c>
      <c r="L14" s="12">
        <f t="shared" si="0"/>
        <v>0</v>
      </c>
    </row>
    <row r="15" spans="1:16" ht="40.049999999999997" customHeight="1" x14ac:dyDescent="0.3">
      <c r="A15" s="25" t="s">
        <v>75</v>
      </c>
      <c r="B15" s="11" t="s">
        <v>71</v>
      </c>
      <c r="C15" s="25" t="s">
        <v>76</v>
      </c>
      <c r="D15" s="13">
        <v>46054</v>
      </c>
      <c r="E15" s="13">
        <v>46081</v>
      </c>
      <c r="F15" s="25" t="s">
        <v>77</v>
      </c>
      <c r="G15" s="11" t="s">
        <v>78</v>
      </c>
      <c r="H15" s="12">
        <v>0</v>
      </c>
      <c r="I15" s="26">
        <v>80</v>
      </c>
      <c r="J15" s="26">
        <v>0</v>
      </c>
      <c r="K15" s="12">
        <v>0.2</v>
      </c>
      <c r="L15" s="12">
        <f t="shared" si="0"/>
        <v>0</v>
      </c>
    </row>
    <row r="16" spans="1:16" ht="40.049999999999997" customHeight="1" x14ac:dyDescent="0.3">
      <c r="A16" s="25" t="s">
        <v>79</v>
      </c>
      <c r="B16" s="11" t="s">
        <v>71</v>
      </c>
      <c r="C16" s="25" t="s">
        <v>80</v>
      </c>
      <c r="D16" s="13">
        <v>46073</v>
      </c>
      <c r="E16" s="13">
        <v>46091</v>
      </c>
      <c r="F16" s="25" t="s">
        <v>81</v>
      </c>
      <c r="G16" s="11" t="s">
        <v>82</v>
      </c>
      <c r="H16" s="12">
        <v>0</v>
      </c>
      <c r="I16" s="26">
        <v>40</v>
      </c>
      <c r="J16" s="26">
        <v>0</v>
      </c>
      <c r="K16" s="12">
        <v>0.1</v>
      </c>
      <c r="L16" s="12">
        <f t="shared" si="0"/>
        <v>0</v>
      </c>
    </row>
    <row r="17" spans="1:16" ht="40.049999999999997" customHeight="1" x14ac:dyDescent="0.3">
      <c r="A17" s="25" t="s">
        <v>83</v>
      </c>
      <c r="B17" s="11" t="s">
        <v>71</v>
      </c>
      <c r="C17" s="25" t="s">
        <v>84</v>
      </c>
      <c r="D17" s="13">
        <v>46082</v>
      </c>
      <c r="E17" s="13">
        <v>46112</v>
      </c>
      <c r="F17" s="25" t="s">
        <v>85</v>
      </c>
      <c r="G17" s="11" t="s">
        <v>86</v>
      </c>
      <c r="H17" s="12">
        <v>0</v>
      </c>
      <c r="I17" s="26">
        <v>60</v>
      </c>
      <c r="J17" s="26">
        <v>0</v>
      </c>
      <c r="K17" s="12">
        <v>0.1</v>
      </c>
      <c r="L17" s="12">
        <f t="shared" si="0"/>
        <v>0</v>
      </c>
    </row>
    <row r="19" spans="1:16" ht="28.05" customHeight="1" x14ac:dyDescent="0.3">
      <c r="A19" s="51" t="s">
        <v>87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 ht="28.05" customHeight="1" x14ac:dyDescent="0.3">
      <c r="A20" s="27" t="s">
        <v>50</v>
      </c>
      <c r="B20" s="27" t="s">
        <v>88</v>
      </c>
      <c r="C20" s="27" t="s">
        <v>15</v>
      </c>
      <c r="D20" s="27" t="s">
        <v>51</v>
      </c>
      <c r="E20" s="27" t="s">
        <v>89</v>
      </c>
      <c r="F20" s="27" t="s">
        <v>90</v>
      </c>
      <c r="G20" s="27" t="s">
        <v>91</v>
      </c>
      <c r="H20" s="27" t="s">
        <v>92</v>
      </c>
      <c r="I20" s="27" t="s">
        <v>93</v>
      </c>
    </row>
    <row r="21" spans="1:16" ht="30" customHeight="1" x14ac:dyDescent="0.3">
      <c r="A21" s="25" t="s">
        <v>69</v>
      </c>
      <c r="B21" s="25" t="s">
        <v>94</v>
      </c>
      <c r="C21" s="28" t="s">
        <v>62</v>
      </c>
      <c r="D21" s="11" t="s">
        <v>95</v>
      </c>
      <c r="E21" s="29" t="s">
        <v>36</v>
      </c>
      <c r="F21" s="13">
        <v>46006</v>
      </c>
      <c r="G21" s="12">
        <v>0.8</v>
      </c>
      <c r="H21" s="26">
        <v>20</v>
      </c>
      <c r="I21" s="25" t="s">
        <v>96</v>
      </c>
    </row>
    <row r="22" spans="1:16" ht="30" customHeight="1" x14ac:dyDescent="0.3">
      <c r="A22" s="25" t="s">
        <v>69</v>
      </c>
      <c r="B22" s="25" t="s">
        <v>97</v>
      </c>
      <c r="C22" s="28" t="s">
        <v>62</v>
      </c>
      <c r="D22" s="11" t="s">
        <v>95</v>
      </c>
      <c r="E22" s="29" t="s">
        <v>36</v>
      </c>
      <c r="F22" s="13">
        <v>46011</v>
      </c>
      <c r="G22" s="12">
        <v>0.7</v>
      </c>
      <c r="H22" s="26">
        <v>16</v>
      </c>
      <c r="I22" s="25" t="s">
        <v>98</v>
      </c>
    </row>
    <row r="23" spans="1:16" ht="30" customHeight="1" x14ac:dyDescent="0.3">
      <c r="A23" s="25" t="s">
        <v>69</v>
      </c>
      <c r="B23" s="25" t="s">
        <v>99</v>
      </c>
      <c r="C23" s="28" t="s">
        <v>62</v>
      </c>
      <c r="D23" s="11" t="s">
        <v>95</v>
      </c>
      <c r="E23" s="28" t="s">
        <v>100</v>
      </c>
      <c r="F23" s="13">
        <v>46027</v>
      </c>
      <c r="G23" s="12">
        <v>0.6</v>
      </c>
      <c r="H23" s="26">
        <v>24</v>
      </c>
      <c r="I23" s="25" t="s">
        <v>101</v>
      </c>
    </row>
    <row r="24" spans="1:16" ht="30" customHeight="1" x14ac:dyDescent="0.3">
      <c r="A24" s="25" t="s">
        <v>69</v>
      </c>
      <c r="B24" s="25" t="s">
        <v>102</v>
      </c>
      <c r="C24" s="30" t="s">
        <v>103</v>
      </c>
      <c r="D24" s="11" t="s">
        <v>95</v>
      </c>
      <c r="E24" s="29" t="s">
        <v>36</v>
      </c>
      <c r="F24" s="13">
        <v>46003</v>
      </c>
      <c r="G24" s="12">
        <v>1</v>
      </c>
      <c r="H24" s="26">
        <v>8</v>
      </c>
      <c r="I24" s="25" t="s">
        <v>104</v>
      </c>
    </row>
    <row r="25" spans="1:16" ht="30" customHeight="1" x14ac:dyDescent="0.3">
      <c r="A25" s="25" t="s">
        <v>69</v>
      </c>
      <c r="B25" s="25" t="s">
        <v>105</v>
      </c>
      <c r="C25" s="28" t="s">
        <v>62</v>
      </c>
      <c r="D25" s="11" t="s">
        <v>95</v>
      </c>
      <c r="E25" s="29" t="s">
        <v>36</v>
      </c>
      <c r="F25" s="13">
        <v>46032</v>
      </c>
      <c r="G25" s="12">
        <v>0.5</v>
      </c>
      <c r="H25" s="26">
        <v>12</v>
      </c>
      <c r="I25" s="25" t="s">
        <v>106</v>
      </c>
    </row>
    <row r="26" spans="1:16" ht="30" customHeight="1" x14ac:dyDescent="0.3">
      <c r="A26" s="25" t="s">
        <v>107</v>
      </c>
      <c r="B26" s="25" t="s">
        <v>108</v>
      </c>
      <c r="C26" s="28" t="s">
        <v>62</v>
      </c>
      <c r="D26" s="11" t="s">
        <v>109</v>
      </c>
      <c r="E26" s="29" t="s">
        <v>36</v>
      </c>
      <c r="F26" s="13">
        <v>46037</v>
      </c>
      <c r="G26" s="12">
        <v>0.7</v>
      </c>
      <c r="H26" s="26">
        <v>40</v>
      </c>
      <c r="I26" s="25" t="s">
        <v>110</v>
      </c>
    </row>
    <row r="27" spans="1:16" ht="30" customHeight="1" x14ac:dyDescent="0.3">
      <c r="A27" s="25" t="s">
        <v>107</v>
      </c>
      <c r="B27" s="25" t="s">
        <v>111</v>
      </c>
      <c r="C27" s="28" t="s">
        <v>62</v>
      </c>
      <c r="D27" s="11" t="s">
        <v>109</v>
      </c>
      <c r="E27" s="29" t="s">
        <v>36</v>
      </c>
      <c r="F27" s="13">
        <v>46042</v>
      </c>
      <c r="G27" s="12">
        <v>0.6</v>
      </c>
      <c r="H27" s="26">
        <v>30</v>
      </c>
      <c r="I27" s="25" t="s">
        <v>112</v>
      </c>
    </row>
    <row r="28" spans="1:16" ht="30" customHeight="1" x14ac:dyDescent="0.3">
      <c r="A28" s="25" t="s">
        <v>107</v>
      </c>
      <c r="B28" s="25" t="s">
        <v>113</v>
      </c>
      <c r="C28" s="11" t="s">
        <v>71</v>
      </c>
      <c r="D28" s="11" t="s">
        <v>109</v>
      </c>
      <c r="E28" s="28" t="s">
        <v>100</v>
      </c>
      <c r="F28" s="13">
        <v>46047</v>
      </c>
      <c r="G28" s="12">
        <v>0</v>
      </c>
      <c r="H28" s="26">
        <v>25</v>
      </c>
      <c r="I28" s="25" t="s">
        <v>114</v>
      </c>
    </row>
    <row r="29" spans="1:16" ht="30" customHeight="1" x14ac:dyDescent="0.3">
      <c r="A29" s="25" t="s">
        <v>107</v>
      </c>
      <c r="B29" s="25" t="s">
        <v>115</v>
      </c>
      <c r="C29" s="11" t="s">
        <v>71</v>
      </c>
      <c r="D29" s="11" t="s">
        <v>109</v>
      </c>
      <c r="E29" s="28" t="s">
        <v>100</v>
      </c>
      <c r="F29" s="13">
        <v>46053</v>
      </c>
      <c r="G29" s="12">
        <v>0</v>
      </c>
      <c r="H29" s="26">
        <v>25</v>
      </c>
      <c r="I29" s="25" t="s">
        <v>116</v>
      </c>
    </row>
  </sheetData>
  <mergeCells count="6">
    <mergeCell ref="A19:P19"/>
    <mergeCell ref="A1:P1"/>
    <mergeCell ref="A2:H2"/>
    <mergeCell ref="B5:P5"/>
    <mergeCell ref="A8:P8"/>
    <mergeCell ref="A7:P7"/>
  </mergeCells>
  <conditionalFormatting sqref="G21:G100">
    <cfRule type="dataBar" priority="2">
      <dataBar>
        <cfvo type="num" val="0"/>
        <cfvo type="num" val="1"/>
        <color rgb="FF70AD47"/>
      </dataBar>
    </cfRule>
  </conditionalFormatting>
  <conditionalFormatting sqref="H12:H100">
    <cfRule type="dataBar" priority="1">
      <dataBar>
        <cfvo type="num" val="0"/>
        <cfvo type="num" val="1"/>
        <color rgb="FF4472C4"/>
      </dataBar>
    </cfRule>
  </conditionalFormatting>
  <dataValidations count="1">
    <dataValidation type="list" sqref="B12:B100" xr:uid="{00000000-0002-0000-0100-000000000000}">
      <formula1>"Não iniciada,Em execução,Concluída,Bloqueada,Cancelada"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H2"/>
    </sheetView>
  </sheetViews>
  <sheetFormatPr defaultRowHeight="14.4" x14ac:dyDescent="0.3"/>
  <cols>
    <col min="1" max="8" width="18" customWidth="1"/>
  </cols>
  <sheetData>
    <row r="1" spans="1:8" x14ac:dyDescent="0.3">
      <c r="A1" s="46" t="s">
        <v>117</v>
      </c>
      <c r="B1" s="40"/>
      <c r="C1" s="40"/>
      <c r="D1" s="40"/>
      <c r="E1" s="40"/>
      <c r="F1" s="40"/>
      <c r="G1" s="40"/>
      <c r="H1" s="40"/>
    </row>
    <row r="2" spans="1:8" x14ac:dyDescent="0.3">
      <c r="A2" s="40"/>
      <c r="B2" s="40"/>
      <c r="C2" s="40"/>
      <c r="D2" s="40"/>
      <c r="E2" s="40"/>
      <c r="F2" s="40"/>
      <c r="G2" s="40"/>
      <c r="H2" s="40"/>
    </row>
    <row r="4" spans="1:8" x14ac:dyDescent="0.3">
      <c r="A4" t="s">
        <v>15</v>
      </c>
      <c r="B4" t="s">
        <v>118</v>
      </c>
    </row>
    <row r="5" spans="1:8" x14ac:dyDescent="0.3">
      <c r="A5" t="s">
        <v>62</v>
      </c>
      <c r="B5" t="e">
        <f ca="1">CONT.SE('📂 Processo 1'!B:B,"Em execução")</f>
        <v>#NAME?</v>
      </c>
    </row>
    <row r="6" spans="1:8" x14ac:dyDescent="0.3">
      <c r="A6" t="s">
        <v>103</v>
      </c>
      <c r="B6" t="e">
        <f ca="1">CONT.SE('📂 Processo 1'!B:B,"Concluída")</f>
        <v>#NAME?</v>
      </c>
    </row>
    <row r="7" spans="1:8" x14ac:dyDescent="0.3">
      <c r="A7" t="s">
        <v>71</v>
      </c>
      <c r="B7" t="e">
        <f ca="1">CONT.SE('📂 Processo 1'!B:B,"Não iniciada")</f>
        <v>#NAME?</v>
      </c>
    </row>
    <row r="8" spans="1:8" x14ac:dyDescent="0.3">
      <c r="A8" t="s">
        <v>119</v>
      </c>
      <c r="B8" t="e">
        <f ca="1">CONT.SE('📂 Processo 1'!B:B,"Planejada")</f>
        <v>#NAME?</v>
      </c>
    </row>
    <row r="11" spans="1:8" ht="18" x14ac:dyDescent="0.3">
      <c r="A11" s="31" t="s">
        <v>120</v>
      </c>
      <c r="B11" s="32" t="e">
        <f ca="1">CONT.VALORES('📂 Processo 1'!A12:A17)</f>
        <v>#NAME?</v>
      </c>
    </row>
    <row r="12" spans="1:8" ht="18" x14ac:dyDescent="0.3">
      <c r="A12" s="33" t="s">
        <v>121</v>
      </c>
      <c r="B12" s="34" t="e">
        <f ca="1">CONT.SE('📂 Processo 1'!B12:B17,"Concluída")/CONT.VALORES('📂 Processo 1'!A12:A17)</f>
        <v>#NAME?</v>
      </c>
    </row>
    <row r="13" spans="1:8" ht="18" x14ac:dyDescent="0.3">
      <c r="A13" s="35" t="s">
        <v>122</v>
      </c>
      <c r="B13" s="36" t="e">
        <f ca="1">SOMA('📂 Processo 1'!I12:I17)</f>
        <v>#NAME?</v>
      </c>
    </row>
    <row r="14" spans="1:8" ht="18" x14ac:dyDescent="0.3">
      <c r="A14" s="37" t="s">
        <v>123</v>
      </c>
      <c r="B14" s="38" t="e">
        <f ca="1">SOMA('📂 Processo 1'!J12:J17)</f>
        <v>#NAME?</v>
      </c>
    </row>
  </sheetData>
  <mergeCells count="1">
    <mergeCell ref="A1:H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4"/>
  <sheetViews>
    <sheetView workbookViewId="0">
      <selection sqref="A1:D1"/>
    </sheetView>
  </sheetViews>
  <sheetFormatPr defaultRowHeight="14.4" x14ac:dyDescent="0.3"/>
  <cols>
    <col min="1" max="1" width="90" customWidth="1"/>
  </cols>
  <sheetData>
    <row r="1" spans="1:4" ht="21" x14ac:dyDescent="0.3">
      <c r="A1" s="46" t="s">
        <v>124</v>
      </c>
      <c r="B1" s="40"/>
      <c r="C1" s="40"/>
      <c r="D1" s="40"/>
    </row>
    <row r="2" spans="1:4" x14ac:dyDescent="0.3">
      <c r="A2" s="55"/>
      <c r="B2" s="40"/>
      <c r="C2" s="40"/>
      <c r="D2" s="40"/>
    </row>
    <row r="3" spans="1:4" ht="15.6" x14ac:dyDescent="0.3">
      <c r="A3" s="52" t="s">
        <v>125</v>
      </c>
      <c r="B3" s="40"/>
      <c r="C3" s="40"/>
      <c r="D3" s="40"/>
    </row>
    <row r="4" spans="1:4" x14ac:dyDescent="0.3">
      <c r="A4" s="55"/>
      <c r="B4" s="40"/>
      <c r="C4" s="40"/>
      <c r="D4" s="40"/>
    </row>
    <row r="5" spans="1:4" ht="15.6" x14ac:dyDescent="0.3">
      <c r="A5" s="52" t="s">
        <v>126</v>
      </c>
      <c r="B5" s="40"/>
      <c r="C5" s="40"/>
      <c r="D5" s="40"/>
    </row>
    <row r="6" spans="1:4" x14ac:dyDescent="0.3">
      <c r="A6" s="55"/>
      <c r="B6" s="40"/>
      <c r="C6" s="40"/>
      <c r="D6" s="40"/>
    </row>
    <row r="7" spans="1:4" ht="15.6" x14ac:dyDescent="0.3">
      <c r="A7" s="52" t="s">
        <v>127</v>
      </c>
      <c r="B7" s="40"/>
      <c r="C7" s="40"/>
      <c r="D7" s="40"/>
    </row>
    <row r="8" spans="1:4" x14ac:dyDescent="0.3">
      <c r="A8" s="53" t="s">
        <v>128</v>
      </c>
      <c r="B8" s="40"/>
      <c r="C8" s="40"/>
      <c r="D8" s="40"/>
    </row>
    <row r="9" spans="1:4" x14ac:dyDescent="0.3">
      <c r="A9" s="53" t="s">
        <v>129</v>
      </c>
      <c r="B9" s="40"/>
      <c r="C9" s="40"/>
      <c r="D9" s="40"/>
    </row>
    <row r="10" spans="1:4" x14ac:dyDescent="0.3">
      <c r="A10" s="53" t="s">
        <v>130</v>
      </c>
      <c r="B10" s="40"/>
      <c r="C10" s="40"/>
      <c r="D10" s="40"/>
    </row>
    <row r="11" spans="1:4" x14ac:dyDescent="0.3">
      <c r="A11" s="53" t="s">
        <v>131</v>
      </c>
      <c r="B11" s="40"/>
      <c r="C11" s="40"/>
      <c r="D11" s="40"/>
    </row>
    <row r="12" spans="1:4" x14ac:dyDescent="0.3">
      <c r="A12" s="53" t="s">
        <v>132</v>
      </c>
      <c r="B12" s="40"/>
      <c r="C12" s="40"/>
      <c r="D12" s="40"/>
    </row>
    <row r="13" spans="1:4" x14ac:dyDescent="0.3">
      <c r="A13" s="53" t="s">
        <v>133</v>
      </c>
      <c r="B13" s="40"/>
      <c r="C13" s="40"/>
      <c r="D13" s="40"/>
    </row>
    <row r="14" spans="1:4" x14ac:dyDescent="0.3">
      <c r="A14" s="55"/>
      <c r="B14" s="40"/>
      <c r="C14" s="40"/>
      <c r="D14" s="40"/>
    </row>
    <row r="15" spans="1:4" ht="15.6" x14ac:dyDescent="0.3">
      <c r="A15" s="52" t="s">
        <v>134</v>
      </c>
      <c r="B15" s="40"/>
      <c r="C15" s="40"/>
      <c r="D15" s="40"/>
    </row>
    <row r="16" spans="1:4" x14ac:dyDescent="0.3">
      <c r="A16" s="53" t="s">
        <v>135</v>
      </c>
      <c r="B16" s="40"/>
      <c r="C16" s="40"/>
      <c r="D16" s="40"/>
    </row>
    <row r="17" spans="1:4" x14ac:dyDescent="0.3">
      <c r="A17" s="53" t="s">
        <v>136</v>
      </c>
      <c r="B17" s="40"/>
      <c r="C17" s="40"/>
      <c r="D17" s="40"/>
    </row>
    <row r="18" spans="1:4" x14ac:dyDescent="0.3">
      <c r="A18" s="53" t="s">
        <v>137</v>
      </c>
      <c r="B18" s="40"/>
      <c r="C18" s="40"/>
      <c r="D18" s="40"/>
    </row>
    <row r="19" spans="1:4" x14ac:dyDescent="0.3">
      <c r="A19" s="53" t="s">
        <v>138</v>
      </c>
      <c r="B19" s="40"/>
      <c r="C19" s="40"/>
      <c r="D19" s="40"/>
    </row>
    <row r="20" spans="1:4" x14ac:dyDescent="0.3">
      <c r="A20" s="53" t="s">
        <v>139</v>
      </c>
      <c r="B20" s="40"/>
      <c r="C20" s="40"/>
      <c r="D20" s="40"/>
    </row>
    <row r="21" spans="1:4" x14ac:dyDescent="0.3">
      <c r="A21" s="53" t="s">
        <v>140</v>
      </c>
      <c r="B21" s="40"/>
      <c r="C21" s="40"/>
      <c r="D21" s="40"/>
    </row>
    <row r="22" spans="1:4" x14ac:dyDescent="0.3">
      <c r="A22" s="53" t="s">
        <v>141</v>
      </c>
      <c r="B22" s="40"/>
      <c r="C22" s="40"/>
      <c r="D22" s="40"/>
    </row>
    <row r="23" spans="1:4" x14ac:dyDescent="0.3">
      <c r="A23" s="53" t="s">
        <v>142</v>
      </c>
      <c r="B23" s="40"/>
      <c r="C23" s="40"/>
      <c r="D23" s="40"/>
    </row>
    <row r="24" spans="1:4" x14ac:dyDescent="0.3">
      <c r="A24" s="55"/>
      <c r="B24" s="40"/>
      <c r="C24" s="40"/>
      <c r="D24" s="40"/>
    </row>
    <row r="25" spans="1:4" ht="15.6" x14ac:dyDescent="0.3">
      <c r="A25" s="52" t="s">
        <v>143</v>
      </c>
      <c r="B25" s="40"/>
      <c r="C25" s="40"/>
      <c r="D25" s="40"/>
    </row>
    <row r="26" spans="1:4" x14ac:dyDescent="0.3">
      <c r="A26" s="53" t="s">
        <v>144</v>
      </c>
      <c r="B26" s="40"/>
      <c r="C26" s="40"/>
      <c r="D26" s="40"/>
    </row>
    <row r="27" spans="1:4" x14ac:dyDescent="0.3">
      <c r="A27" s="53" t="s">
        <v>145</v>
      </c>
      <c r="B27" s="40"/>
      <c r="C27" s="40"/>
      <c r="D27" s="40"/>
    </row>
    <row r="28" spans="1:4" x14ac:dyDescent="0.3">
      <c r="A28" s="53" t="s">
        <v>146</v>
      </c>
      <c r="B28" s="40"/>
      <c r="C28" s="40"/>
      <c r="D28" s="40"/>
    </row>
    <row r="29" spans="1:4" x14ac:dyDescent="0.3">
      <c r="A29" s="55"/>
      <c r="B29" s="40"/>
      <c r="C29" s="40"/>
      <c r="D29" s="40"/>
    </row>
    <row r="30" spans="1:4" x14ac:dyDescent="0.3">
      <c r="A30" s="55" t="s">
        <v>147</v>
      </c>
      <c r="B30" s="40"/>
      <c r="C30" s="40"/>
      <c r="D30" s="40"/>
    </row>
    <row r="31" spans="1:4" x14ac:dyDescent="0.3">
      <c r="A31" s="55"/>
      <c r="B31" s="40"/>
      <c r="C31" s="40"/>
      <c r="D31" s="40"/>
    </row>
    <row r="32" spans="1:4" ht="15.6" x14ac:dyDescent="0.3">
      <c r="A32" s="52" t="s">
        <v>148</v>
      </c>
      <c r="B32" s="40"/>
      <c r="C32" s="40"/>
      <c r="D32" s="40"/>
    </row>
    <row r="33" spans="1:4" x14ac:dyDescent="0.3">
      <c r="A33" s="55"/>
      <c r="B33" s="40"/>
      <c r="C33" s="40"/>
      <c r="D33" s="40"/>
    </row>
    <row r="34" spans="1:4" x14ac:dyDescent="0.3">
      <c r="A34" s="56" t="s">
        <v>149</v>
      </c>
      <c r="B34" s="40"/>
      <c r="C34" s="40"/>
      <c r="D34" s="40"/>
    </row>
    <row r="35" spans="1:4" x14ac:dyDescent="0.3">
      <c r="A35" s="53" t="s">
        <v>150</v>
      </c>
      <c r="B35" s="40"/>
      <c r="C35" s="40"/>
      <c r="D35" s="40"/>
    </row>
    <row r="36" spans="1:4" x14ac:dyDescent="0.3">
      <c r="A36" s="53" t="s">
        <v>151</v>
      </c>
      <c r="B36" s="40"/>
      <c r="C36" s="40"/>
      <c r="D36" s="40"/>
    </row>
    <row r="37" spans="1:4" x14ac:dyDescent="0.3">
      <c r="A37" s="53" t="s">
        <v>152</v>
      </c>
      <c r="B37" s="40"/>
      <c r="C37" s="40"/>
      <c r="D37" s="40"/>
    </row>
    <row r="38" spans="1:4" x14ac:dyDescent="0.3">
      <c r="A38" s="53" t="s">
        <v>153</v>
      </c>
      <c r="B38" s="40"/>
      <c r="C38" s="40"/>
      <c r="D38" s="40"/>
    </row>
    <row r="39" spans="1:4" x14ac:dyDescent="0.3">
      <c r="A39" s="55"/>
      <c r="B39" s="40"/>
      <c r="C39" s="40"/>
      <c r="D39" s="40"/>
    </row>
    <row r="40" spans="1:4" x14ac:dyDescent="0.3">
      <c r="A40" s="56" t="s">
        <v>154</v>
      </c>
      <c r="B40" s="40"/>
      <c r="C40" s="40"/>
      <c r="D40" s="40"/>
    </row>
    <row r="41" spans="1:4" x14ac:dyDescent="0.3">
      <c r="A41" s="53" t="s">
        <v>155</v>
      </c>
      <c r="B41" s="40"/>
      <c r="C41" s="40"/>
      <c r="D41" s="40"/>
    </row>
    <row r="42" spans="1:4" x14ac:dyDescent="0.3">
      <c r="A42" s="53" t="s">
        <v>156</v>
      </c>
      <c r="B42" s="40"/>
      <c r="C42" s="40"/>
      <c r="D42" s="40"/>
    </row>
    <row r="43" spans="1:4" x14ac:dyDescent="0.3">
      <c r="A43" s="53" t="s">
        <v>157</v>
      </c>
      <c r="B43" s="40"/>
      <c r="C43" s="40"/>
      <c r="D43" s="40"/>
    </row>
    <row r="44" spans="1:4" x14ac:dyDescent="0.3">
      <c r="A44" s="55"/>
      <c r="B44" s="40"/>
      <c r="C44" s="40"/>
      <c r="D44" s="40"/>
    </row>
    <row r="45" spans="1:4" x14ac:dyDescent="0.3">
      <c r="A45" s="56" t="s">
        <v>158</v>
      </c>
      <c r="B45" s="40"/>
      <c r="C45" s="40"/>
      <c r="D45" s="40"/>
    </row>
    <row r="46" spans="1:4" x14ac:dyDescent="0.3">
      <c r="A46" s="53" t="s">
        <v>159</v>
      </c>
      <c r="B46" s="40"/>
      <c r="C46" s="40"/>
      <c r="D46" s="40"/>
    </row>
    <row r="47" spans="1:4" x14ac:dyDescent="0.3">
      <c r="A47" s="53" t="s">
        <v>160</v>
      </c>
      <c r="B47" s="40"/>
      <c r="C47" s="40"/>
      <c r="D47" s="40"/>
    </row>
    <row r="48" spans="1:4" x14ac:dyDescent="0.3">
      <c r="A48" s="55"/>
      <c r="B48" s="40"/>
      <c r="C48" s="40"/>
      <c r="D48" s="40"/>
    </row>
    <row r="49" spans="1:4" x14ac:dyDescent="0.3">
      <c r="A49" s="56" t="s">
        <v>161</v>
      </c>
      <c r="B49" s="40"/>
      <c r="C49" s="40"/>
      <c r="D49" s="40"/>
    </row>
    <row r="50" spans="1:4" x14ac:dyDescent="0.3">
      <c r="A50" s="53" t="s">
        <v>162</v>
      </c>
      <c r="B50" s="40"/>
      <c r="C50" s="40"/>
      <c r="D50" s="40"/>
    </row>
    <row r="51" spans="1:4" x14ac:dyDescent="0.3">
      <c r="A51" s="53" t="s">
        <v>163</v>
      </c>
      <c r="B51" s="40"/>
      <c r="C51" s="40"/>
      <c r="D51" s="40"/>
    </row>
    <row r="52" spans="1:4" x14ac:dyDescent="0.3">
      <c r="A52" s="55"/>
      <c r="B52" s="40"/>
      <c r="C52" s="40"/>
      <c r="D52" s="40"/>
    </row>
    <row r="53" spans="1:4" x14ac:dyDescent="0.3">
      <c r="A53" s="56" t="s">
        <v>164</v>
      </c>
      <c r="B53" s="40"/>
      <c r="C53" s="40"/>
      <c r="D53" s="40"/>
    </row>
    <row r="54" spans="1:4" x14ac:dyDescent="0.3">
      <c r="A54" s="53" t="s">
        <v>165</v>
      </c>
      <c r="B54" s="40"/>
      <c r="C54" s="40"/>
      <c r="D54" s="40"/>
    </row>
    <row r="55" spans="1:4" x14ac:dyDescent="0.3">
      <c r="A55" s="53" t="s">
        <v>166</v>
      </c>
      <c r="B55" s="40"/>
      <c r="C55" s="40"/>
      <c r="D55" s="40"/>
    </row>
    <row r="56" spans="1:4" x14ac:dyDescent="0.3">
      <c r="A56" s="53" t="s">
        <v>167</v>
      </c>
      <c r="B56" s="40"/>
      <c r="C56" s="40"/>
      <c r="D56" s="40"/>
    </row>
    <row r="57" spans="1:4" x14ac:dyDescent="0.3">
      <c r="A57" s="53" t="s">
        <v>168</v>
      </c>
      <c r="B57" s="40"/>
      <c r="C57" s="40"/>
      <c r="D57" s="40"/>
    </row>
    <row r="58" spans="1:4" x14ac:dyDescent="0.3">
      <c r="A58" s="55"/>
      <c r="B58" s="40"/>
      <c r="C58" s="40"/>
      <c r="D58" s="40"/>
    </row>
    <row r="59" spans="1:4" x14ac:dyDescent="0.3">
      <c r="A59" s="56" t="s">
        <v>169</v>
      </c>
      <c r="B59" s="40"/>
      <c r="C59" s="40"/>
      <c r="D59" s="40"/>
    </row>
    <row r="60" spans="1:4" x14ac:dyDescent="0.3">
      <c r="A60" s="53" t="s">
        <v>170</v>
      </c>
      <c r="B60" s="40"/>
      <c r="C60" s="40"/>
      <c r="D60" s="40"/>
    </row>
    <row r="61" spans="1:4" x14ac:dyDescent="0.3">
      <c r="A61" s="53" t="s">
        <v>171</v>
      </c>
      <c r="B61" s="40"/>
      <c r="C61" s="40"/>
      <c r="D61" s="40"/>
    </row>
    <row r="62" spans="1:4" x14ac:dyDescent="0.3">
      <c r="A62" s="53" t="s">
        <v>172</v>
      </c>
      <c r="B62" s="40"/>
      <c r="C62" s="40"/>
      <c r="D62" s="40"/>
    </row>
    <row r="63" spans="1:4" x14ac:dyDescent="0.3">
      <c r="A63" s="53" t="s">
        <v>173</v>
      </c>
      <c r="B63" s="40"/>
      <c r="C63" s="40"/>
      <c r="D63" s="40"/>
    </row>
    <row r="64" spans="1:4" x14ac:dyDescent="0.3">
      <c r="A64" s="55"/>
      <c r="B64" s="40"/>
      <c r="C64" s="40"/>
      <c r="D64" s="40"/>
    </row>
    <row r="65" spans="1:4" ht="15.6" x14ac:dyDescent="0.3">
      <c r="A65" s="52" t="s">
        <v>174</v>
      </c>
      <c r="B65" s="40"/>
      <c r="C65" s="40"/>
      <c r="D65" s="40"/>
    </row>
    <row r="66" spans="1:4" x14ac:dyDescent="0.3">
      <c r="A66" s="55"/>
      <c r="B66" s="40"/>
      <c r="C66" s="40"/>
      <c r="D66" s="40"/>
    </row>
    <row r="67" spans="1:4" x14ac:dyDescent="0.3">
      <c r="A67" s="54" t="s">
        <v>175</v>
      </c>
      <c r="B67" s="40"/>
      <c r="C67" s="40"/>
      <c r="D67" s="40"/>
    </row>
    <row r="68" spans="1:4" x14ac:dyDescent="0.3">
      <c r="A68" s="54" t="s">
        <v>176</v>
      </c>
      <c r="B68" s="40"/>
      <c r="C68" s="40"/>
      <c r="D68" s="40"/>
    </row>
    <row r="69" spans="1:4" x14ac:dyDescent="0.3">
      <c r="A69" s="54" t="s">
        <v>177</v>
      </c>
      <c r="B69" s="40"/>
      <c r="C69" s="40"/>
      <c r="D69" s="40"/>
    </row>
    <row r="70" spans="1:4" x14ac:dyDescent="0.3">
      <c r="A70" s="54" t="s">
        <v>178</v>
      </c>
      <c r="B70" s="40"/>
      <c r="C70" s="40"/>
      <c r="D70" s="40"/>
    </row>
    <row r="71" spans="1:4" x14ac:dyDescent="0.3">
      <c r="A71" s="54" t="s">
        <v>179</v>
      </c>
      <c r="B71" s="40"/>
      <c r="C71" s="40"/>
      <c r="D71" s="40"/>
    </row>
    <row r="72" spans="1:4" x14ac:dyDescent="0.3">
      <c r="A72" s="54" t="s">
        <v>180</v>
      </c>
      <c r="B72" s="40"/>
      <c r="C72" s="40"/>
      <c r="D72" s="40"/>
    </row>
    <row r="73" spans="1:4" x14ac:dyDescent="0.3">
      <c r="A73" s="55"/>
      <c r="B73" s="40"/>
      <c r="C73" s="40"/>
      <c r="D73" s="40"/>
    </row>
    <row r="74" spans="1:4" ht="15.6" x14ac:dyDescent="0.3">
      <c r="A74" s="52" t="s">
        <v>181</v>
      </c>
      <c r="B74" s="40"/>
      <c r="C74" s="40"/>
      <c r="D74" s="40"/>
    </row>
    <row r="75" spans="1:4" x14ac:dyDescent="0.3">
      <c r="A75" s="53" t="s">
        <v>182</v>
      </c>
      <c r="B75" s="40"/>
      <c r="C75" s="40"/>
      <c r="D75" s="40"/>
    </row>
    <row r="76" spans="1:4" x14ac:dyDescent="0.3">
      <c r="A76" s="53" t="s">
        <v>183</v>
      </c>
      <c r="B76" s="40"/>
      <c r="C76" s="40"/>
      <c r="D76" s="40"/>
    </row>
    <row r="77" spans="1:4" x14ac:dyDescent="0.3">
      <c r="A77" s="53" t="s">
        <v>184</v>
      </c>
      <c r="B77" s="40"/>
      <c r="C77" s="40"/>
      <c r="D77" s="40"/>
    </row>
    <row r="78" spans="1:4" x14ac:dyDescent="0.3">
      <c r="A78" s="53" t="s">
        <v>185</v>
      </c>
      <c r="B78" s="40"/>
      <c r="C78" s="40"/>
      <c r="D78" s="40"/>
    </row>
    <row r="79" spans="1:4" x14ac:dyDescent="0.3">
      <c r="A79" s="53" t="s">
        <v>186</v>
      </c>
      <c r="B79" s="40"/>
      <c r="C79" s="40"/>
      <c r="D79" s="40"/>
    </row>
    <row r="80" spans="1:4" x14ac:dyDescent="0.3">
      <c r="A80" s="53" t="s">
        <v>187</v>
      </c>
      <c r="B80" s="40"/>
      <c r="C80" s="40"/>
      <c r="D80" s="40"/>
    </row>
    <row r="81" spans="1:4" x14ac:dyDescent="0.3">
      <c r="A81" s="53" t="s">
        <v>188</v>
      </c>
      <c r="B81" s="40"/>
      <c r="C81" s="40"/>
      <c r="D81" s="40"/>
    </row>
    <row r="82" spans="1:4" x14ac:dyDescent="0.3">
      <c r="A82" s="55"/>
      <c r="B82" s="40"/>
      <c r="C82" s="40"/>
      <c r="D82" s="40"/>
    </row>
    <row r="83" spans="1:4" ht="15.6" x14ac:dyDescent="0.3">
      <c r="A83" s="52" t="s">
        <v>189</v>
      </c>
      <c r="B83" s="40"/>
      <c r="C83" s="40"/>
      <c r="D83" s="40"/>
    </row>
    <row r="84" spans="1:4" x14ac:dyDescent="0.3">
      <c r="A84" s="55"/>
      <c r="B84" s="40"/>
      <c r="C84" s="40"/>
      <c r="D84" s="40"/>
    </row>
    <row r="85" spans="1:4" x14ac:dyDescent="0.3">
      <c r="A85" s="55" t="s">
        <v>190</v>
      </c>
      <c r="B85" s="40"/>
      <c r="C85" s="40"/>
      <c r="D85" s="40"/>
    </row>
    <row r="86" spans="1:4" x14ac:dyDescent="0.3">
      <c r="A86" s="55" t="s">
        <v>191</v>
      </c>
      <c r="B86" s="40"/>
      <c r="C86" s="40"/>
      <c r="D86" s="40"/>
    </row>
    <row r="87" spans="1:4" x14ac:dyDescent="0.3">
      <c r="A87" s="55" t="s">
        <v>192</v>
      </c>
      <c r="B87" s="40"/>
      <c r="C87" s="40"/>
      <c r="D87" s="40"/>
    </row>
    <row r="88" spans="1:4" x14ac:dyDescent="0.3">
      <c r="A88" s="55" t="s">
        <v>193</v>
      </c>
      <c r="B88" s="40"/>
      <c r="C88" s="40"/>
      <c r="D88" s="40"/>
    </row>
    <row r="89" spans="1:4" x14ac:dyDescent="0.3">
      <c r="A89" s="55" t="s">
        <v>194</v>
      </c>
      <c r="B89" s="40"/>
      <c r="C89" s="40"/>
      <c r="D89" s="40"/>
    </row>
    <row r="90" spans="1:4" x14ac:dyDescent="0.3">
      <c r="A90" s="55" t="s">
        <v>195</v>
      </c>
      <c r="B90" s="40"/>
      <c r="C90" s="40"/>
      <c r="D90" s="40"/>
    </row>
    <row r="91" spans="1:4" x14ac:dyDescent="0.3">
      <c r="A91" s="55" t="s">
        <v>196</v>
      </c>
      <c r="B91" s="40"/>
      <c r="C91" s="40"/>
      <c r="D91" s="40"/>
    </row>
    <row r="92" spans="1:4" x14ac:dyDescent="0.3">
      <c r="A92" s="55"/>
      <c r="B92" s="40"/>
      <c r="C92" s="40"/>
      <c r="D92" s="40"/>
    </row>
    <row r="93" spans="1:4" ht="15.6" x14ac:dyDescent="0.3">
      <c r="A93" s="52" t="s">
        <v>197</v>
      </c>
      <c r="B93" s="40"/>
      <c r="C93" s="40"/>
      <c r="D93" s="40"/>
    </row>
    <row r="94" spans="1:4" x14ac:dyDescent="0.3">
      <c r="A94" s="55" t="s">
        <v>198</v>
      </c>
      <c r="B94" s="40"/>
      <c r="C94" s="40"/>
      <c r="D94" s="40"/>
    </row>
  </sheetData>
  <mergeCells count="94">
    <mergeCell ref="A3:D3"/>
    <mergeCell ref="A55:D55"/>
    <mergeCell ref="A86:D86"/>
    <mergeCell ref="A47:D47"/>
    <mergeCell ref="A4:D4"/>
    <mergeCell ref="A38:D38"/>
    <mergeCell ref="A43:D43"/>
    <mergeCell ref="A40:D40"/>
    <mergeCell ref="A67:D67"/>
    <mergeCell ref="A6:D6"/>
    <mergeCell ref="A25:D25"/>
    <mergeCell ref="A66:D66"/>
    <mergeCell ref="A18:D18"/>
    <mergeCell ref="A50:D50"/>
    <mergeCell ref="A1:D1"/>
    <mergeCell ref="A45:D45"/>
    <mergeCell ref="A94:D94"/>
    <mergeCell ref="A69:D69"/>
    <mergeCell ref="A78:D78"/>
    <mergeCell ref="A87:D87"/>
    <mergeCell ref="A65:D65"/>
    <mergeCell ref="A80:D80"/>
    <mergeCell ref="A37:D37"/>
    <mergeCell ref="A89:D89"/>
    <mergeCell ref="A12:D12"/>
    <mergeCell ref="A21:D21"/>
    <mergeCell ref="A57:D57"/>
    <mergeCell ref="A32:D32"/>
    <mergeCell ref="A14:D14"/>
    <mergeCell ref="A23:D23"/>
    <mergeCell ref="A91:D91"/>
    <mergeCell ref="A52:D52"/>
    <mergeCell ref="A63:D63"/>
    <mergeCell ref="A10:D10"/>
    <mergeCell ref="A93:D93"/>
    <mergeCell ref="A68:D68"/>
    <mergeCell ref="A77:D77"/>
    <mergeCell ref="A34:D34"/>
    <mergeCell ref="A83:D83"/>
    <mergeCell ref="A92:D92"/>
    <mergeCell ref="A39:D39"/>
    <mergeCell ref="A49:D49"/>
    <mergeCell ref="A36:D36"/>
    <mergeCell ref="A82:D82"/>
    <mergeCell ref="A84:D84"/>
    <mergeCell ref="A75:D75"/>
    <mergeCell ref="A79:D79"/>
    <mergeCell ref="A61:D61"/>
    <mergeCell ref="A88:D88"/>
    <mergeCell ref="A46:D46"/>
    <mergeCell ref="A90:D90"/>
    <mergeCell ref="A74:D74"/>
    <mergeCell ref="A71:D71"/>
    <mergeCell ref="A76:D76"/>
    <mergeCell ref="A2:D2"/>
    <mergeCell ref="A33:D33"/>
    <mergeCell ref="A85:D85"/>
    <mergeCell ref="A42:D42"/>
    <mergeCell ref="A17:D17"/>
    <mergeCell ref="A22:D22"/>
    <mergeCell ref="A53:D53"/>
    <mergeCell ref="A35:D35"/>
    <mergeCell ref="A62:D62"/>
    <mergeCell ref="A19:D19"/>
    <mergeCell ref="A28:D28"/>
    <mergeCell ref="A9:D9"/>
    <mergeCell ref="A48:D48"/>
    <mergeCell ref="A30:D30"/>
    <mergeCell ref="A59:D59"/>
    <mergeCell ref="A11:D11"/>
    <mergeCell ref="A54:D54"/>
    <mergeCell ref="A7:D7"/>
    <mergeCell ref="A41:D41"/>
    <mergeCell ref="A16:D16"/>
    <mergeCell ref="A56:D56"/>
    <mergeCell ref="A27:D27"/>
    <mergeCell ref="A26:D26"/>
    <mergeCell ref="A8:D8"/>
    <mergeCell ref="A5:D5"/>
    <mergeCell ref="A20:D20"/>
    <mergeCell ref="A72:D72"/>
    <mergeCell ref="A29:D29"/>
    <mergeCell ref="A81:D81"/>
    <mergeCell ref="A13:D13"/>
    <mergeCell ref="A44:D44"/>
    <mergeCell ref="A31:D31"/>
    <mergeCell ref="A58:D58"/>
    <mergeCell ref="A15:D15"/>
    <mergeCell ref="A64:D64"/>
    <mergeCell ref="A24:D24"/>
    <mergeCell ref="A73:D73"/>
    <mergeCell ref="A51:D51"/>
    <mergeCell ref="A60:D60"/>
    <mergeCell ref="A70:D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🎯 Command Center</vt:lpstr>
      <vt:lpstr>📂 Processo 1</vt:lpstr>
      <vt:lpstr>📊 Dashboard</vt:lpstr>
      <vt:lpstr>📖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2025-12-11T02:12:27Z</dcterms:created>
  <dcterms:modified xsi:type="dcterms:W3CDTF">2025-12-11T02:17:45Z</dcterms:modified>
</cp:coreProperties>
</file>