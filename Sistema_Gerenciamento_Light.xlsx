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10" documentId="11_52392E020ECDE0251A9CEA770C706CDBB7F09825" xr6:coauthVersionLast="47" xr6:coauthVersionMax="47" xr10:uidLastSave="{20CE9E86-8679-4024-A480-2C9A3047BC0B}"/>
  <bookViews>
    <workbookView xWindow="57480" yWindow="-120" windowWidth="29040" windowHeight="15720" xr2:uid="{00000000-000D-0000-FFFF-FFFF00000000}"/>
  </bookViews>
  <sheets>
    <sheet name="Controle de Demandas" sheetId="1" r:id="rId1"/>
    <sheet name="Dashboard" sheetId="2" r:id="rId2"/>
    <sheet name="Análise de Riscos" sheetId="3" r:id="rId3"/>
    <sheet name="Instruçõ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D6" i="3" s="1"/>
  <c r="F6" i="3" s="1"/>
  <c r="J5" i="1"/>
  <c r="M5" i="1" s="1"/>
  <c r="C7" i="3" s="1"/>
  <c r="J6" i="1"/>
  <c r="M6" i="1" s="1"/>
  <c r="J7" i="1"/>
  <c r="M7" i="1" s="1"/>
  <c r="J8" i="1"/>
  <c r="M8" i="1" s="1"/>
  <c r="J9" i="1"/>
  <c r="J10" i="1"/>
  <c r="J11" i="1"/>
  <c r="J12" i="1"/>
  <c r="M12" i="1" s="1"/>
  <c r="J3" i="1"/>
  <c r="D5" i="3" s="1"/>
  <c r="F5" i="3" s="1"/>
  <c r="I4" i="1"/>
  <c r="I5" i="1"/>
  <c r="I6" i="1"/>
  <c r="I7" i="1"/>
  <c r="I8" i="1"/>
  <c r="I9" i="1"/>
  <c r="I10" i="1"/>
  <c r="I11" i="1"/>
  <c r="I12" i="1"/>
  <c r="I3" i="1"/>
  <c r="B15" i="3"/>
  <c r="D15" i="3" s="1"/>
  <c r="B14" i="3"/>
  <c r="D14" i="3" s="1"/>
  <c r="B13" i="3"/>
  <c r="D13" i="3" s="1"/>
  <c r="B12" i="3"/>
  <c r="D12" i="3" s="1"/>
  <c r="E7" i="3"/>
  <c r="B7" i="3"/>
  <c r="A7" i="3"/>
  <c r="E6" i="3"/>
  <c r="B6" i="3"/>
  <c r="A6" i="3"/>
  <c r="E5" i="3"/>
  <c r="B5" i="3"/>
  <c r="A5" i="3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B29" i="2"/>
  <c r="B28" i="2"/>
  <c r="B27" i="2"/>
  <c r="B26" i="2"/>
  <c r="B22" i="2"/>
  <c r="B21" i="2"/>
  <c r="B20" i="2"/>
  <c r="B19" i="2"/>
  <c r="B18" i="2"/>
  <c r="D14" i="2"/>
  <c r="C14" i="2"/>
  <c r="B14" i="2"/>
  <c r="D13" i="2"/>
  <c r="C13" i="2"/>
  <c r="B13" i="2"/>
  <c r="D12" i="2"/>
  <c r="C12" i="2"/>
  <c r="B12" i="2"/>
  <c r="H7" i="2"/>
  <c r="G7" i="2"/>
  <c r="F7" i="2"/>
  <c r="E7" i="2"/>
  <c r="D7" i="2"/>
  <c r="C7" i="2"/>
  <c r="B7" i="2"/>
  <c r="A7" i="2"/>
  <c r="N12" i="1"/>
  <c r="N11" i="1"/>
  <c r="M11" i="1"/>
  <c r="N10" i="1"/>
  <c r="M10" i="1"/>
  <c r="N9" i="1"/>
  <c r="M9" i="1"/>
  <c r="N8" i="1"/>
  <c r="N7" i="1"/>
  <c r="N6" i="1"/>
  <c r="N5" i="1"/>
  <c r="N4" i="1"/>
  <c r="N3" i="1"/>
  <c r="M3" i="1" l="1"/>
  <c r="C5" i="3" s="1"/>
  <c r="M4" i="1"/>
  <c r="C6" i="3" s="1"/>
  <c r="D7" i="3"/>
  <c r="F7" i="3" s="1"/>
</calcChain>
</file>

<file path=xl/sharedStrings.xml><?xml version="1.0" encoding="utf-8"?>
<sst xmlns="http://schemas.openxmlformats.org/spreadsheetml/2006/main" count="187" uniqueCount="138">
  <si>
    <t>🎯 SISTEMA DE GERENCIAMENTO DE DEMANDAS - VERSÃO LIGHT</t>
  </si>
  <si>
    <t>ID</t>
  </si>
  <si>
    <t>Demanda</t>
  </si>
  <si>
    <t>Responsável</t>
  </si>
  <si>
    <t>Prioridade</t>
  </si>
  <si>
    <t>Status</t>
  </si>
  <si>
    <t>Data Abertura</t>
  </si>
  <si>
    <t>Prazo</t>
  </si>
  <si>
    <t>Data Conclusão</t>
  </si>
  <si>
    <t>Dias Decorridos</t>
  </si>
  <si>
    <t>Dias Restantes</t>
  </si>
  <si>
    <t>% Progresso</t>
  </si>
  <si>
    <t>Categoria</t>
  </si>
  <si>
    <t>Risco</t>
  </si>
  <si>
    <t>Saúde</t>
  </si>
  <si>
    <t>Desenvolvimento do módulo de login</t>
  </si>
  <si>
    <t>João Silva</t>
  </si>
  <si>
    <t>Alta</t>
  </si>
  <si>
    <t>Em Andamento</t>
  </si>
  <si>
    <t>Desenvolvimento</t>
  </si>
  <si>
    <t>Correção de bugs no relatório</t>
  </si>
  <si>
    <t>Maria Santos</t>
  </si>
  <si>
    <t>Crítica</t>
  </si>
  <si>
    <t>Correção</t>
  </si>
  <si>
    <t>Implementar dashboard analytics</t>
  </si>
  <si>
    <t>Pedro Costa</t>
  </si>
  <si>
    <t>Média</t>
  </si>
  <si>
    <t>Planejada</t>
  </si>
  <si>
    <t>Atualização da documentação</t>
  </si>
  <si>
    <t>Ana Oliveira</t>
  </si>
  <si>
    <t>Baixa</t>
  </si>
  <si>
    <t>Concluída</t>
  </si>
  <si>
    <t>Documentação</t>
  </si>
  <si>
    <t>Teste de integração API</t>
  </si>
  <si>
    <t>Carlos Lima</t>
  </si>
  <si>
    <t>Teste</t>
  </si>
  <si>
    <t>Migração de banco de dados</t>
  </si>
  <si>
    <t>Infraestrutura</t>
  </si>
  <si>
    <t>Implementação de autenticação 2FA</t>
  </si>
  <si>
    <t>Análise de performance do sistema</t>
  </si>
  <si>
    <t>Análise</t>
  </si>
  <si>
    <t>Criação de templates de email</t>
  </si>
  <si>
    <t>Configuração de ambiente de staging</t>
  </si>
  <si>
    <t>Bloqueada</t>
  </si>
  <si>
    <t>📊 DASHBOARD INTELIGENTE - VISÃO EXECUTIVA</t>
  </si>
  <si>
    <t>📅 Última atualização: 10/12/2025 15:27</t>
  </si>
  <si>
    <t>🎯 KPIs PRINCIPAIS</t>
  </si>
  <si>
    <t>📋 Total</t>
  </si>
  <si>
    <t>🚀 Em Andamento</t>
  </si>
  <si>
    <t>✅ Concluídas</t>
  </si>
  <si>
    <t>⏸️ Bloqueadas</t>
  </si>
  <si>
    <t>⚠️ Atrasadas</t>
  </si>
  <si>
    <t>📈 Taxa Conclusão</t>
  </si>
  <si>
    <t>⏱️ Prazo Médio</t>
  </si>
  <si>
    <t>💯 Saúde Média</t>
  </si>
  <si>
    <t>🚨 ALERTAS E NOTIFICAÇÕES</t>
  </si>
  <si>
    <t>Tipo</t>
  </si>
  <si>
    <t>Ação Necessária</t>
  </si>
  <si>
    <t>🔴 ATRASADA</t>
  </si>
  <si>
    <t>Reprogramar ou acelerar</t>
  </si>
  <si>
    <t>🟡 BLOQUEADA</t>
  </si>
  <si>
    <t>Resolver impedimento</t>
  </si>
  <si>
    <t>⚠️ PRAZO CURTO</t>
  </si>
  <si>
    <t>Priorizar recurso</t>
  </si>
  <si>
    <t>Quantidade</t>
  </si>
  <si>
    <t>Cancelada</t>
  </si>
  <si>
    <t>Concluídas</t>
  </si>
  <si>
    <t>Pendentes</t>
  </si>
  <si>
    <t>Semana</t>
  </si>
  <si>
    <t>Iniciadas</t>
  </si>
  <si>
    <t>Sem 1</t>
  </si>
  <si>
    <t>Sem 2</t>
  </si>
  <si>
    <t>Sem 3</t>
  </si>
  <si>
    <t>Sem 4</t>
  </si>
  <si>
    <t>⚠️ ANÁLISE DE RISCOS E SAÚDE DO PROJETO</t>
  </si>
  <si>
    <t>🎯 MATRIZ DE RISCO (Impacto vs Urgência)</t>
  </si>
  <si>
    <t>Nível de Risco</t>
  </si>
  <si>
    <t>Recomendação</t>
  </si>
  <si>
    <t>💚 INDICADORES DE SAÚDE DO PROJETO</t>
  </si>
  <si>
    <t>Métrica</t>
  </si>
  <si>
    <t>Valor Atual</t>
  </si>
  <si>
    <t>Meta</t>
  </si>
  <si>
    <t>Taxa de Conclusão no Prazo</t>
  </si>
  <si>
    <t>80%</t>
  </si>
  <si>
    <t>Progresso Médio Geral</t>
  </si>
  <si>
    <t>70%</t>
  </si>
  <si>
    <t>Taxa de Bloqueio</t>
  </si>
  <si>
    <t>10%</t>
  </si>
  <si>
    <t>Demandas Críticas em Risco</t>
  </si>
  <si>
    <t>0</t>
  </si>
  <si>
    <t>📖 GUIA DE USO - VERSÃO LIGHT</t>
  </si>
  <si>
    <t>⚡ BEM-VINDO À VERSÃO LIGHT!</t>
  </si>
  <si>
    <t>Esta versão inclui recursos avançados de visualização e análise:</t>
  </si>
  <si>
    <t>📊 RECURSOS PRINCIPAIS:</t>
  </si>
  <si>
    <t>1. CONTROLE DE DEMANDAS:</t>
  </si>
  <si>
    <t xml:space="preserve">   • Tabela completa com todas as informações</t>
  </si>
  <si>
    <t xml:space="preserve">   • Cálculos automáticos de prazos e riscos</t>
  </si>
  <si>
    <t xml:space="preserve">   • Formatação condicional com cores inteligentes</t>
  </si>
  <si>
    <t xml:space="preserve">   • Indicadores visuais de saúde (🟢🟡🔴)</t>
  </si>
  <si>
    <t xml:space="preserve">   • Sistema de semáforo para riscos</t>
  </si>
  <si>
    <t>2. DASHBOARD INTELIGENTE:</t>
  </si>
  <si>
    <t xml:space="preserve">   • 8 KPIs principais atualizados em tempo real</t>
  </si>
  <si>
    <t xml:space="preserve">   • Gráfico de Rosca para distribuição de status</t>
  </si>
  <si>
    <t xml:space="preserve">   • Gráfico de Barras para análise de prioridades</t>
  </si>
  <si>
    <t xml:space="preserve">   • Gráfico Empilhado para progresso por categoria</t>
  </si>
  <si>
    <t xml:space="preserve">   • Gráfico de Linha para evolução temporal</t>
  </si>
  <si>
    <t xml:space="preserve">   • Seção de alertas e notificações críticas</t>
  </si>
  <si>
    <t>3. ANÁLISE DE RISCOS:</t>
  </si>
  <si>
    <t xml:space="preserve">   • Matriz de risco automatizada</t>
  </si>
  <si>
    <t xml:space="preserve">   • Recomendações inteligentes por demanda</t>
  </si>
  <si>
    <t xml:space="preserve">   • 4 indicadores de saúde do projeto</t>
  </si>
  <si>
    <t xml:space="preserve">   • Alertas de demandas críticas em risco</t>
  </si>
  <si>
    <t>🎨 CÓDIGO DE CORES:</t>
  </si>
  <si>
    <t>Status:</t>
  </si>
  <si>
    <t xml:space="preserve">   🟢 Verde = Concluída</t>
  </si>
  <si>
    <t xml:space="preserve">   🟡 Amarelo = Em Andamento</t>
  </si>
  <si>
    <t xml:space="preserve">   🔵 Azul = Planejada</t>
  </si>
  <si>
    <t xml:space="preserve">   🔴 Vermelho = Bloqueada</t>
  </si>
  <si>
    <t>Risco:</t>
  </si>
  <si>
    <t xml:space="preserve">   🟢 Baixo = Mais de 5 dias até prazo</t>
  </si>
  <si>
    <t xml:space="preserve">   🟡 Médio = 3-5 dias até prazo</t>
  </si>
  <si>
    <t xml:space="preserve">   🔴 Alto = Menos de 3 dias ou atrasada</t>
  </si>
  <si>
    <t>Saúde:</t>
  </si>
  <si>
    <t xml:space="preserve">   🟢 = Progresso &gt; 80%</t>
  </si>
  <si>
    <t xml:space="preserve">   🟡 = Progresso 50-80%</t>
  </si>
  <si>
    <t xml:space="preserve">   🔴 = Progresso &lt; 50%</t>
  </si>
  <si>
    <t>📈 DICAS DE USO:</t>
  </si>
  <si>
    <t xml:space="preserve">   ✓ Use as listas suspensas para garantir padronização</t>
  </si>
  <si>
    <t xml:space="preserve">   ✓ Os KPIs atualizam automaticamente ao modificar dados</t>
  </si>
  <si>
    <t xml:space="preserve">   ✓ Monitore a aba de Riscos diariamente</t>
  </si>
  <si>
    <t xml:space="preserve">   ✓ Cores vermelhas indicam necessidade de ação imediata</t>
  </si>
  <si>
    <t xml:space="preserve">   ✓ Gráficos são dinâmicos e refletem mudanças instantaneamente</t>
  </si>
  <si>
    <t>🚀 PRÓXIMOS PASSOS:</t>
  </si>
  <si>
    <t xml:space="preserve">   → Adicione novas demandas na aba 'Controle de Demandas'</t>
  </si>
  <si>
    <t xml:space="preserve">   → Atualize status e % de progresso regularmente</t>
  </si>
  <si>
    <t xml:space="preserve">   → Revise o Dashboard para insights estratégicos</t>
  </si>
  <si>
    <t xml:space="preserve">   → Use a Análise de Riscos para tomada de decisão</t>
  </si>
  <si>
    <t>💡 Desenvolvido com Python + openpyxl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</si>
</sst>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0"/>
      <name val="Calibri"/>
    </font>
    <font>
      <b/>
      <sz val="14"/>
      <color rgb="FF1F4E78"/>
      <name val="Calibri"/>
    </font>
    <font>
      <b/>
      <sz val="10"/>
      <color rgb="FFFFFFFF"/>
      <name val="Calibri"/>
    </font>
    <font>
      <b/>
      <sz val="16"/>
      <color rgb="FF4472D4"/>
      <name val="Calibri"/>
    </font>
    <font>
      <b/>
      <sz val="16"/>
      <color rgb="FFFFA500"/>
      <name val="Calibri"/>
    </font>
    <font>
      <b/>
      <sz val="16"/>
      <color rgb="FF00B050"/>
      <name val="Calibri"/>
    </font>
    <font>
      <b/>
      <sz val="16"/>
      <color rgb="FFC00000"/>
      <name val="Calibri"/>
    </font>
    <font>
      <b/>
      <sz val="16"/>
      <color rgb="FFFF0000"/>
      <name val="Calibri"/>
    </font>
    <font>
      <b/>
      <sz val="16"/>
      <color rgb="FF00B0F0"/>
      <name val="Calibri"/>
    </font>
    <font>
      <b/>
      <sz val="16"/>
      <color rgb="FF7030A0"/>
      <name val="Calibri"/>
    </font>
    <font>
      <b/>
      <sz val="16"/>
      <color rgb="FF92D050"/>
      <name val="Calibri"/>
    </font>
    <font>
      <b/>
      <sz val="14"/>
      <color rgb="FFC00000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2"/>
      <color rgb="FF1F4E78"/>
      <name val="Calibri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4472D4"/>
        <bgColor rgb="FF4472D4"/>
      </patternFill>
    </fill>
    <fill>
      <patternFill patternType="solid">
        <fgColor rgb="FFF2F2F2"/>
        <bgColor rgb="FFF2F2F2"/>
      </patternFill>
    </fill>
    <fill>
      <patternFill patternType="solid">
        <fgColor rgb="FFFFA500"/>
        <bgColor rgb="FFFFA50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9" fontId="14" fillId="5" borderId="2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0" fontId="17" fillId="0" borderId="0" xfId="0" applyFont="1"/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/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2"/>
    </xf>
    <xf numFmtId="0" fontId="20" fillId="0" borderId="0" xfId="0" applyFont="1"/>
    <xf numFmtId="0" fontId="19" fillId="0" borderId="0" xfId="0" applyFont="1"/>
    <xf numFmtId="0" fontId="1" fillId="2" borderId="0" xfId="0" applyFont="1" applyFill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6"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FFFFFF"/>
      </font>
      <fill>
        <patternFill patternType="solid">
          <fgColor rgb="FFFFA500"/>
          <bgColor rgb="FFFFA5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📊 Distribuição por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Dashboard!$A$18:$A$22</c:f>
              <c:strCache>
                <c:ptCount val="5"/>
                <c:pt idx="0">
                  <c:v>Planejada</c:v>
                </c:pt>
                <c:pt idx="1">
                  <c:v>Em Andamento</c:v>
                </c:pt>
                <c:pt idx="2">
                  <c:v>Concluída</c:v>
                </c:pt>
                <c:pt idx="3">
                  <c:v>Cancelada</c:v>
                </c:pt>
                <c:pt idx="4">
                  <c:v>Bloqueada</c:v>
                </c:pt>
              </c:strCache>
            </c:strRef>
          </c:cat>
          <c:val>
            <c:numRef>
              <c:f>Dashboard!$B$18:$B$22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9-45CA-AA9C-4E2826EE67E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pt-BR"/>
              <a:t>🎯 Demandas por Prioridade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Dashboard!$A$26:$A$29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Média</c:v>
                </c:pt>
                <c:pt idx="3">
                  <c:v>Baixa</c:v>
                </c:pt>
              </c:strCache>
            </c:strRef>
          </c:cat>
          <c:val>
            <c:numRef>
              <c:f>Dashboard!$B$26:$B$29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F-4121-92D9-7C0298884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Prioridade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pt-BR"/>
              <a:t>📂 Progresso por Categoria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Dashboard!$B$48</c:f>
              <c:strCache>
                <c:ptCount val="1"/>
                <c:pt idx="0">
                  <c:v>Concluídas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Dashboard!$A$49:$A$54</c:f>
              <c:strCache>
                <c:ptCount val="6"/>
                <c:pt idx="0">
                  <c:v>Desenvolvimento</c:v>
                </c:pt>
                <c:pt idx="1">
                  <c:v>Correção</c:v>
                </c:pt>
                <c:pt idx="2">
                  <c:v>Teste</c:v>
                </c:pt>
                <c:pt idx="3">
                  <c:v>Documentação</c:v>
                </c:pt>
                <c:pt idx="4">
                  <c:v>Infraestrutura</c:v>
                </c:pt>
                <c:pt idx="5">
                  <c:v>Análise</c:v>
                </c:pt>
              </c:strCache>
            </c:strRef>
          </c:cat>
          <c:val>
            <c:numRef>
              <c:f>Dashboard!$B$49:$B$54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B-4F54-AB45-14AC61273DEE}"/>
            </c:ext>
          </c:extLst>
        </c:ser>
        <c:ser>
          <c:idx val="1"/>
          <c:order val="1"/>
          <c:tx>
            <c:strRef>
              <c:f>Dashboard!$C$48</c:f>
              <c:strCache>
                <c:ptCount val="1"/>
                <c:pt idx="0">
                  <c:v>Em Andamento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Dashboard!$A$49:$A$54</c:f>
              <c:strCache>
                <c:ptCount val="6"/>
                <c:pt idx="0">
                  <c:v>Desenvolvimento</c:v>
                </c:pt>
                <c:pt idx="1">
                  <c:v>Correção</c:v>
                </c:pt>
                <c:pt idx="2">
                  <c:v>Teste</c:v>
                </c:pt>
                <c:pt idx="3">
                  <c:v>Documentação</c:v>
                </c:pt>
                <c:pt idx="4">
                  <c:v>Infraestrutura</c:v>
                </c:pt>
                <c:pt idx="5">
                  <c:v>Análise</c:v>
                </c:pt>
              </c:strCache>
            </c:strRef>
          </c:cat>
          <c:val>
            <c:numRef>
              <c:f>Dashboard!$C$49:$C$54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B-4F54-AB45-14AC61273DEE}"/>
            </c:ext>
          </c:extLst>
        </c:ser>
        <c:ser>
          <c:idx val="2"/>
          <c:order val="2"/>
          <c:tx>
            <c:strRef>
              <c:f>Dashboard!$D$48</c:f>
              <c:strCache>
                <c:ptCount val="1"/>
                <c:pt idx="0">
                  <c:v>Pendentes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Dashboard!$A$49:$A$54</c:f>
              <c:strCache>
                <c:ptCount val="6"/>
                <c:pt idx="0">
                  <c:v>Desenvolvimento</c:v>
                </c:pt>
                <c:pt idx="1">
                  <c:v>Correção</c:v>
                </c:pt>
                <c:pt idx="2">
                  <c:v>Teste</c:v>
                </c:pt>
                <c:pt idx="3">
                  <c:v>Documentação</c:v>
                </c:pt>
                <c:pt idx="4">
                  <c:v>Infraestrutura</c:v>
                </c:pt>
                <c:pt idx="5">
                  <c:v>Análise</c:v>
                </c:pt>
              </c:strCache>
            </c:strRef>
          </c:cat>
          <c:val>
            <c:numRef>
              <c:f>Dashboard!$D$49:$D$54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B-4F54-AB45-14AC61273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📈 Evolução ao Longo do Tempo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Dashboard!$G$48</c:f>
              <c:strCache>
                <c:ptCount val="1"/>
                <c:pt idx="0">
                  <c:v>Concluídas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Dashboard!$F$49:$F$52</c:f>
              <c:strCache>
                <c:ptCount val="4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</c:strCache>
            </c:strRef>
          </c:cat>
          <c:val>
            <c:numRef>
              <c:f>Dashboard!$G$49:$G$52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72-44C8-AFB0-AF64E5EE5979}"/>
            </c:ext>
          </c:extLst>
        </c:ser>
        <c:ser>
          <c:idx val="1"/>
          <c:order val="1"/>
          <c:tx>
            <c:strRef>
              <c:f>Dashboard!$H$48</c:f>
              <c:strCache>
                <c:ptCount val="1"/>
                <c:pt idx="0">
                  <c:v>Iniciadas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Dashboard!$F$49:$F$52</c:f>
              <c:strCache>
                <c:ptCount val="4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</c:strCache>
            </c:strRef>
          </c:cat>
          <c:val>
            <c:numRef>
              <c:f>Dashboard!$H$49:$H$52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72-44C8-AFB0-AF64E5EE5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16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31</xdr:row>
      <xdr:rowOff>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648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54</xdr:row>
      <xdr:rowOff>0</xdr:rowOff>
    </xdr:from>
    <xdr:ext cx="6480000" cy="46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J6" sqref="J6"/>
    </sheetView>
  </sheetViews>
  <sheetFormatPr defaultRowHeight="14.4" x14ac:dyDescent="0.3"/>
  <cols>
    <col min="1" max="1" width="6" customWidth="1"/>
    <col min="2" max="2" width="35" customWidth="1"/>
    <col min="3" max="3" width="18" customWidth="1"/>
    <col min="4" max="4" width="12" customWidth="1"/>
    <col min="5" max="5" width="15" customWidth="1"/>
    <col min="6" max="8" width="14" customWidth="1"/>
    <col min="9" max="9" width="13" style="44" customWidth="1"/>
    <col min="10" max="10" width="13.5546875" bestFit="1" customWidth="1"/>
    <col min="11" max="11" width="12" customWidth="1"/>
    <col min="12" max="12" width="16" customWidth="1"/>
    <col min="13" max="13" width="14" customWidth="1"/>
    <col min="14" max="14" width="8" customWidth="1"/>
  </cols>
  <sheetData>
    <row r="1" spans="1:14" ht="25.05" customHeight="1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3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45992</v>
      </c>
      <c r="G3" s="3">
        <v>46006</v>
      </c>
      <c r="H3" s="2"/>
      <c r="I3" s="3">
        <f ca="1">TODAY()-F3</f>
        <v>9</v>
      </c>
      <c r="J3" s="3">
        <f ca="1">G3-TODAY()</f>
        <v>5</v>
      </c>
      <c r="K3" s="4">
        <v>0.6</v>
      </c>
      <c r="L3" s="2" t="s">
        <v>19</v>
      </c>
      <c r="M3" s="2" t="str">
        <f ca="1">IF(J3&lt;0,"🔴 Alto",IF(J3&lt;3,"🟡 Médio","🟢 Baixo"))</f>
        <v>🟢 Baixo</v>
      </c>
      <c r="N3" s="2" t="e">
        <f t="shared" ref="N3:N12" ca="1" si="0">SE(K3&gt;=0.8,"🟢",SE(K3&gt;=0.5,"🟡","🔴"))</f>
        <v>#NAME?</v>
      </c>
    </row>
    <row r="4" spans="1:14" x14ac:dyDescent="0.3">
      <c r="A4" s="2">
        <v>2</v>
      </c>
      <c r="B4" s="2" t="s">
        <v>20</v>
      </c>
      <c r="C4" s="2" t="s">
        <v>21</v>
      </c>
      <c r="D4" s="2" t="s">
        <v>22</v>
      </c>
      <c r="E4" s="2" t="s">
        <v>18</v>
      </c>
      <c r="F4" s="3">
        <v>45996</v>
      </c>
      <c r="G4" s="3">
        <v>46003</v>
      </c>
      <c r="H4" s="2"/>
      <c r="I4" s="3">
        <f t="shared" ref="I4:I12" ca="1" si="1">TODAY()-F4</f>
        <v>5</v>
      </c>
      <c r="J4" s="3">
        <f t="shared" ref="J4:J12" ca="1" si="2">G4-TODAY()</f>
        <v>2</v>
      </c>
      <c r="K4" s="4">
        <v>0.85</v>
      </c>
      <c r="L4" s="2" t="s">
        <v>23</v>
      </c>
      <c r="M4" s="2" t="e">
        <f t="shared" ref="M3:M12" ca="1" si="3">SE(J4&lt;0,"🔴 Alto",SE(J4&lt;3,"🟡 Médio","🟢 Baixo"))</f>
        <v>#NAME?</v>
      </c>
      <c r="N4" s="2" t="e">
        <f t="shared" ca="1" si="0"/>
        <v>#NAME?</v>
      </c>
    </row>
    <row r="5" spans="1:14" x14ac:dyDescent="0.3">
      <c r="A5" s="2">
        <v>3</v>
      </c>
      <c r="B5" s="2" t="s">
        <v>24</v>
      </c>
      <c r="C5" s="2" t="s">
        <v>25</v>
      </c>
      <c r="D5" s="2" t="s">
        <v>26</v>
      </c>
      <c r="E5" s="2" t="s">
        <v>27</v>
      </c>
      <c r="F5" s="3">
        <v>45999</v>
      </c>
      <c r="G5" s="3">
        <v>46016</v>
      </c>
      <c r="H5" s="2"/>
      <c r="I5" s="3">
        <f t="shared" ca="1" si="1"/>
        <v>2</v>
      </c>
      <c r="J5" s="3">
        <f t="shared" ca="1" si="2"/>
        <v>15</v>
      </c>
      <c r="K5" s="4">
        <v>0.2</v>
      </c>
      <c r="L5" s="2" t="s">
        <v>19</v>
      </c>
      <c r="M5" s="2" t="e">
        <f t="shared" ca="1" si="3"/>
        <v>#NAME?</v>
      </c>
      <c r="N5" s="2" t="e">
        <f t="shared" ca="1" si="0"/>
        <v>#NAME?</v>
      </c>
    </row>
    <row r="6" spans="1:14" x14ac:dyDescent="0.3">
      <c r="A6" s="2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3">
        <v>45981</v>
      </c>
      <c r="G6" s="3">
        <v>45996</v>
      </c>
      <c r="H6" s="3">
        <v>45994</v>
      </c>
      <c r="I6" s="3">
        <f t="shared" ca="1" si="1"/>
        <v>20</v>
      </c>
      <c r="J6" s="3">
        <f t="shared" ca="1" si="2"/>
        <v>-5</v>
      </c>
      <c r="K6" s="4">
        <v>1</v>
      </c>
      <c r="L6" s="2" t="s">
        <v>32</v>
      </c>
      <c r="M6" s="2" t="e">
        <f t="shared" ca="1" si="3"/>
        <v>#NAME?</v>
      </c>
      <c r="N6" s="2" t="e">
        <f t="shared" ca="1" si="0"/>
        <v>#NAME?</v>
      </c>
    </row>
    <row r="7" spans="1:14" x14ac:dyDescent="0.3">
      <c r="A7" s="2">
        <v>5</v>
      </c>
      <c r="B7" s="2" t="s">
        <v>33</v>
      </c>
      <c r="C7" s="2" t="s">
        <v>34</v>
      </c>
      <c r="D7" s="2" t="s">
        <v>17</v>
      </c>
      <c r="E7" s="2" t="s">
        <v>18</v>
      </c>
      <c r="F7" s="3">
        <v>45998</v>
      </c>
      <c r="G7" s="3">
        <v>46005</v>
      </c>
      <c r="H7" s="2"/>
      <c r="I7" s="3">
        <f t="shared" ca="1" si="1"/>
        <v>3</v>
      </c>
      <c r="J7" s="3">
        <f t="shared" ca="1" si="2"/>
        <v>4</v>
      </c>
      <c r="K7" s="4">
        <v>0.45</v>
      </c>
      <c r="L7" s="2" t="s">
        <v>35</v>
      </c>
      <c r="M7" s="2" t="e">
        <f t="shared" ca="1" si="3"/>
        <v>#NAME?</v>
      </c>
      <c r="N7" s="2" t="e">
        <f t="shared" ca="1" si="0"/>
        <v>#NAME?</v>
      </c>
    </row>
    <row r="8" spans="1:14" x14ac:dyDescent="0.3">
      <c r="A8" s="2">
        <v>6</v>
      </c>
      <c r="B8" s="2" t="s">
        <v>36</v>
      </c>
      <c r="C8" s="2" t="s">
        <v>16</v>
      </c>
      <c r="D8" s="2" t="s">
        <v>22</v>
      </c>
      <c r="E8" s="2" t="s">
        <v>18</v>
      </c>
      <c r="F8" s="3">
        <v>45994</v>
      </c>
      <c r="G8" s="3">
        <v>46004</v>
      </c>
      <c r="H8" s="2"/>
      <c r="I8" s="3">
        <f t="shared" ca="1" si="1"/>
        <v>7</v>
      </c>
      <c r="J8" s="3">
        <f t="shared" ca="1" si="2"/>
        <v>3</v>
      </c>
      <c r="K8" s="4">
        <v>0.7</v>
      </c>
      <c r="L8" s="2" t="s">
        <v>37</v>
      </c>
      <c r="M8" s="2" t="e">
        <f t="shared" ca="1" si="3"/>
        <v>#NAME?</v>
      </c>
      <c r="N8" s="2" t="e">
        <f t="shared" ca="1" si="0"/>
        <v>#NAME?</v>
      </c>
    </row>
    <row r="9" spans="1:14" x14ac:dyDescent="0.3">
      <c r="A9" s="2">
        <v>7</v>
      </c>
      <c r="B9" s="2" t="s">
        <v>38</v>
      </c>
      <c r="C9" s="2" t="s">
        <v>21</v>
      </c>
      <c r="D9" s="2" t="s">
        <v>17</v>
      </c>
      <c r="E9" s="2" t="s">
        <v>27</v>
      </c>
      <c r="F9" s="3">
        <v>46001</v>
      </c>
      <c r="G9" s="3">
        <v>46013</v>
      </c>
      <c r="H9" s="2"/>
      <c r="I9" s="3">
        <f t="shared" ca="1" si="1"/>
        <v>0</v>
      </c>
      <c r="J9" s="3">
        <f t="shared" ca="1" si="2"/>
        <v>12</v>
      </c>
      <c r="K9" s="4">
        <v>0.1</v>
      </c>
      <c r="L9" s="2" t="s">
        <v>19</v>
      </c>
      <c r="M9" s="2" t="e">
        <f t="shared" ca="1" si="3"/>
        <v>#NAME?</v>
      </c>
      <c r="N9" s="2" t="e">
        <f t="shared" ca="1" si="0"/>
        <v>#NAME?</v>
      </c>
    </row>
    <row r="10" spans="1:14" x14ac:dyDescent="0.3">
      <c r="A10" s="2">
        <v>8</v>
      </c>
      <c r="B10" s="2" t="s">
        <v>39</v>
      </c>
      <c r="C10" s="2" t="s">
        <v>25</v>
      </c>
      <c r="D10" s="2" t="s">
        <v>26</v>
      </c>
      <c r="E10" s="2" t="s">
        <v>18</v>
      </c>
      <c r="F10" s="3">
        <v>45997</v>
      </c>
      <c r="G10" s="3">
        <v>46009</v>
      </c>
      <c r="H10" s="2"/>
      <c r="I10" s="3">
        <f t="shared" ca="1" si="1"/>
        <v>4</v>
      </c>
      <c r="J10" s="3">
        <f t="shared" ca="1" si="2"/>
        <v>8</v>
      </c>
      <c r="K10" s="4">
        <v>0.55000000000000004</v>
      </c>
      <c r="L10" s="2" t="s">
        <v>40</v>
      </c>
      <c r="M10" s="2" t="e">
        <f t="shared" ca="1" si="3"/>
        <v>#NAME?</v>
      </c>
      <c r="N10" s="2" t="e">
        <f t="shared" ca="1" si="0"/>
        <v>#NAME?</v>
      </c>
    </row>
    <row r="11" spans="1:14" x14ac:dyDescent="0.3">
      <c r="A11" s="2">
        <v>9</v>
      </c>
      <c r="B11" s="2" t="s">
        <v>41</v>
      </c>
      <c r="C11" s="2" t="s">
        <v>29</v>
      </c>
      <c r="D11" s="2" t="s">
        <v>30</v>
      </c>
      <c r="E11" s="2" t="s">
        <v>31</v>
      </c>
      <c r="F11" s="3">
        <v>45989</v>
      </c>
      <c r="G11" s="3">
        <v>45999</v>
      </c>
      <c r="H11" s="3">
        <v>45998</v>
      </c>
      <c r="I11" s="3">
        <f t="shared" ca="1" si="1"/>
        <v>12</v>
      </c>
      <c r="J11" s="3">
        <f t="shared" ca="1" si="2"/>
        <v>-2</v>
      </c>
      <c r="K11" s="4">
        <v>1</v>
      </c>
      <c r="L11" s="2" t="s">
        <v>32</v>
      </c>
      <c r="M11" s="2" t="e">
        <f t="shared" ca="1" si="3"/>
        <v>#NAME?</v>
      </c>
      <c r="N11" s="2" t="e">
        <f t="shared" ca="1" si="0"/>
        <v>#NAME?</v>
      </c>
    </row>
    <row r="12" spans="1:14" x14ac:dyDescent="0.3">
      <c r="A12" s="2">
        <v>10</v>
      </c>
      <c r="B12" s="2" t="s">
        <v>42</v>
      </c>
      <c r="C12" s="2" t="s">
        <v>34</v>
      </c>
      <c r="D12" s="2" t="s">
        <v>17</v>
      </c>
      <c r="E12" s="2" t="s">
        <v>43</v>
      </c>
      <c r="F12" s="3">
        <v>45995</v>
      </c>
      <c r="G12" s="3">
        <v>46002</v>
      </c>
      <c r="H12" s="2"/>
      <c r="I12" s="3">
        <f t="shared" ca="1" si="1"/>
        <v>6</v>
      </c>
      <c r="J12" s="3">
        <f t="shared" ca="1" si="2"/>
        <v>1</v>
      </c>
      <c r="K12" s="4">
        <v>0.3</v>
      </c>
      <c r="L12" s="2" t="s">
        <v>37</v>
      </c>
      <c r="M12" s="2" t="e">
        <f t="shared" ca="1" si="3"/>
        <v>#NAME?</v>
      </c>
      <c r="N12" s="2" t="e">
        <f t="shared" ca="1" si="0"/>
        <v>#NAME?</v>
      </c>
    </row>
  </sheetData>
  <mergeCells count="1">
    <mergeCell ref="A1:N1"/>
  </mergeCells>
  <conditionalFormatting sqref="D3:D100">
    <cfRule type="cellIs" dxfId="5" priority="7" operator="equal">
      <formula>"Crítica"</formula>
    </cfRule>
    <cfRule type="cellIs" dxfId="4" priority="8" operator="equal">
      <formula>"Alta"</formula>
    </cfRule>
  </conditionalFormatting>
  <conditionalFormatting sqref="E3:E100">
    <cfRule type="cellIs" dxfId="3" priority="1" operator="equal">
      <formula>"Concluída"</formula>
    </cfRule>
    <cfRule type="cellIs" dxfId="2" priority="2" operator="equal">
      <formula>"Em Andamento"</formula>
    </cfRule>
    <cfRule type="cellIs" dxfId="1" priority="3" operator="equal">
      <formula>"Bloqueada"</formula>
    </cfRule>
    <cfRule type="cellIs" dxfId="0" priority="4" operator="equal">
      <formula>"Planejada"</formula>
    </cfRule>
  </conditionalFormatting>
  <conditionalFormatting sqref="J3:J100">
    <cfRule type="colorScale" priority="6">
      <colorScale>
        <cfvo type="num" val="-10"/>
        <cfvo type="num" val="0"/>
        <cfvo type="num" val="15"/>
        <color rgb="FFF8696B"/>
        <color rgb="FFFFEB84"/>
        <color rgb="FF63BE7B"/>
      </colorScale>
    </cfRule>
  </conditionalFormatting>
  <conditionalFormatting sqref="K3:K100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3">
    <dataValidation type="list" sqref="D3:D100" xr:uid="{00000000-0002-0000-0000-000000000000}">
      <formula1>"Crítica,Alta,Média,Baixa"</formula1>
    </dataValidation>
    <dataValidation type="list" sqref="E3:E100" xr:uid="{00000000-0002-0000-0000-000001000000}">
      <formula1>"Planejada,Em Andamento,Concluída,Cancelada,Bloqueada"</formula1>
    </dataValidation>
    <dataValidation type="list" sqref="L3:L100" xr:uid="{00000000-0002-0000-0000-000002000000}">
      <formula1>"Desenvolvimento,Correção,Teste,Documentação,Infraestrutura,Análise"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>
      <selection sqref="A1:H2"/>
    </sheetView>
  </sheetViews>
  <sheetFormatPr defaultRowHeight="14.4" x14ac:dyDescent="0.3"/>
  <cols>
    <col min="1" max="8" width="18" customWidth="1"/>
  </cols>
  <sheetData>
    <row r="1" spans="1:8" x14ac:dyDescent="0.3">
      <c r="A1" s="32" t="s">
        <v>44</v>
      </c>
      <c r="B1" s="31"/>
      <c r="C1" s="31"/>
      <c r="D1" s="31"/>
      <c r="E1" s="31"/>
      <c r="F1" s="31"/>
      <c r="G1" s="31"/>
      <c r="H1" s="31"/>
    </row>
    <row r="2" spans="1:8" x14ac:dyDescent="0.3">
      <c r="A2" s="31"/>
      <c r="B2" s="31"/>
      <c r="C2" s="31"/>
      <c r="D2" s="31"/>
      <c r="E2" s="31"/>
      <c r="F2" s="31"/>
      <c r="G2" s="31"/>
      <c r="H2" s="31"/>
    </row>
    <row r="3" spans="1:8" x14ac:dyDescent="0.3">
      <c r="A3" s="33" t="s">
        <v>45</v>
      </c>
      <c r="B3" s="31"/>
      <c r="C3" s="31"/>
      <c r="D3" s="31"/>
      <c r="E3" s="31"/>
      <c r="F3" s="31"/>
      <c r="G3" s="31"/>
      <c r="H3" s="31"/>
    </row>
    <row r="5" spans="1:8" ht="18" x14ac:dyDescent="0.35">
      <c r="A5" s="35" t="s">
        <v>46</v>
      </c>
      <c r="B5" s="31"/>
      <c r="C5" s="31"/>
      <c r="D5" s="31"/>
      <c r="E5" s="31"/>
      <c r="F5" s="31"/>
      <c r="G5" s="31"/>
      <c r="H5" s="31"/>
    </row>
    <row r="6" spans="1:8" x14ac:dyDescent="0.3">
      <c r="A6" s="5" t="s">
        <v>47</v>
      </c>
      <c r="B6" s="6" t="s">
        <v>48</v>
      </c>
      <c r="C6" s="7" t="s">
        <v>49</v>
      </c>
      <c r="D6" s="8" t="s">
        <v>50</v>
      </c>
      <c r="E6" s="9" t="s">
        <v>51</v>
      </c>
      <c r="F6" s="10" t="s">
        <v>52</v>
      </c>
      <c r="G6" s="11" t="s">
        <v>53</v>
      </c>
      <c r="H6" s="12" t="s">
        <v>54</v>
      </c>
    </row>
    <row r="7" spans="1:8" ht="21" x14ac:dyDescent="0.3">
      <c r="A7" s="13" t="e">
        <f ca="1">CONT.VALORES('Controle de Demandas'!A3:A100)</f>
        <v>#NAME?</v>
      </c>
      <c r="B7" s="14" t="e">
        <f ca="1">CONT.SE('Controle de Demandas'!E:E,"Em Andamento")</f>
        <v>#NAME?</v>
      </c>
      <c r="C7" s="15" t="e">
        <f ca="1">CONT.SE('Controle de Demandas'!E:E,"Concluída")</f>
        <v>#NAME?</v>
      </c>
      <c r="D7" s="16" t="e">
        <f ca="1">CONT.SE('Controle de Demandas'!E:E,"Bloqueada")</f>
        <v>#NAME?</v>
      </c>
      <c r="E7" s="17" t="e">
        <f ca="1">CONT.SE('Controle de Demandas'!J:J,"&lt;0")</f>
        <v>#NAME?</v>
      </c>
      <c r="F7" s="18" t="e">
        <f ca="1">SE(B6=0,"0%",TEXTO(D6/B6,"0%"))</f>
        <v>#NAME?</v>
      </c>
      <c r="G7" s="19" t="e">
        <f ca="1">SE(B6=0,0,MÉDIA('Controle de Demandas'!J3:J12))&amp;" dias"</f>
        <v>#NAME?</v>
      </c>
      <c r="H7" s="20" t="e">
        <f ca="1">MÉDIA('Controle de Demandas'!K3:K12)</f>
        <v>#NAME?</v>
      </c>
    </row>
    <row r="10" spans="1:8" ht="18" x14ac:dyDescent="0.35">
      <c r="A10" s="34" t="s">
        <v>55</v>
      </c>
      <c r="B10" s="31"/>
      <c r="C10" s="31"/>
      <c r="D10" s="31"/>
      <c r="E10" s="31"/>
      <c r="F10" s="31"/>
      <c r="G10" s="31"/>
      <c r="H10" s="31"/>
    </row>
    <row r="11" spans="1:8" x14ac:dyDescent="0.3">
      <c r="A11" s="21" t="s">
        <v>56</v>
      </c>
      <c r="B11" s="21" t="s">
        <v>2</v>
      </c>
      <c r="C11" s="21" t="s">
        <v>3</v>
      </c>
      <c r="D11" s="21" t="s">
        <v>5</v>
      </c>
      <c r="E11" s="21" t="s">
        <v>57</v>
      </c>
    </row>
    <row r="12" spans="1:8" x14ac:dyDescent="0.3">
      <c r="A12" s="22" t="s">
        <v>58</v>
      </c>
      <c r="B12" s="23" t="str">
        <f>'Controle de Demandas'!B3</f>
        <v>Desenvolvimento do módulo de login</v>
      </c>
      <c r="C12" s="23" t="str">
        <f>'Controle de Demandas'!C3</f>
        <v>João Silva</v>
      </c>
      <c r="D12" s="23" t="str">
        <f>'Controle de Demandas'!E3</f>
        <v>Em Andamento</v>
      </c>
      <c r="E12" s="23" t="s">
        <v>59</v>
      </c>
    </row>
    <row r="13" spans="1:8" x14ac:dyDescent="0.3">
      <c r="A13" s="24" t="s">
        <v>60</v>
      </c>
      <c r="B13" s="23" t="str">
        <f>'Controle de Demandas'!B12</f>
        <v>Configuração de ambiente de staging</v>
      </c>
      <c r="C13" s="23" t="str">
        <f>'Controle de Demandas'!C12</f>
        <v>Carlos Lima</v>
      </c>
      <c r="D13" s="23" t="str">
        <f>'Controle de Demandas'!E12</f>
        <v>Bloqueada</v>
      </c>
      <c r="E13" s="23" t="s">
        <v>61</v>
      </c>
    </row>
    <row r="14" spans="1:8" x14ac:dyDescent="0.3">
      <c r="A14" s="25" t="s">
        <v>62</v>
      </c>
      <c r="B14" s="23" t="str">
        <f>'Controle de Demandas'!B4</f>
        <v>Correção de bugs no relatório</v>
      </c>
      <c r="C14" s="23" t="str">
        <f>'Controle de Demandas'!C4</f>
        <v>Maria Santos</v>
      </c>
      <c r="D14" s="23" t="str">
        <f>'Controle de Demandas'!E4</f>
        <v>Em Andamento</v>
      </c>
      <c r="E14" s="23" t="s">
        <v>63</v>
      </c>
    </row>
    <row r="17" spans="1:2" x14ac:dyDescent="0.3">
      <c r="A17" s="26" t="s">
        <v>5</v>
      </c>
      <c r="B17" s="26" t="s">
        <v>64</v>
      </c>
    </row>
    <row r="18" spans="1:2" x14ac:dyDescent="0.3">
      <c r="A18" t="s">
        <v>27</v>
      </c>
      <c r="B18" t="e">
        <f ca="1">CONT.SE('Controle de Demandas'!E:E,"Planejada")</f>
        <v>#NAME?</v>
      </c>
    </row>
    <row r="19" spans="1:2" x14ac:dyDescent="0.3">
      <c r="A19" t="s">
        <v>18</v>
      </c>
      <c r="B19" t="e">
        <f ca="1">CONT.SE('Controle de Demandas'!E:E,"Em Andamento")</f>
        <v>#NAME?</v>
      </c>
    </row>
    <row r="20" spans="1:2" x14ac:dyDescent="0.3">
      <c r="A20" t="s">
        <v>31</v>
      </c>
      <c r="B20" t="e">
        <f ca="1">CONT.SE('Controle de Demandas'!E:E,"Concluída")</f>
        <v>#NAME?</v>
      </c>
    </row>
    <row r="21" spans="1:2" x14ac:dyDescent="0.3">
      <c r="A21" t="s">
        <v>65</v>
      </c>
      <c r="B21" t="e">
        <f ca="1">CONT.SE('Controle de Demandas'!E:E,"Cancelada")</f>
        <v>#NAME?</v>
      </c>
    </row>
    <row r="22" spans="1:2" x14ac:dyDescent="0.3">
      <c r="A22" t="s">
        <v>43</v>
      </c>
      <c r="B22" t="e">
        <f ca="1">CONT.SE('Controle de Demandas'!E:E,"Bloqueada")</f>
        <v>#NAME?</v>
      </c>
    </row>
    <row r="25" spans="1:2" x14ac:dyDescent="0.3">
      <c r="A25" s="26" t="s">
        <v>4</v>
      </c>
      <c r="B25" s="26" t="s">
        <v>64</v>
      </c>
    </row>
    <row r="26" spans="1:2" x14ac:dyDescent="0.3">
      <c r="A26" t="s">
        <v>22</v>
      </c>
      <c r="B26" t="e">
        <f ca="1">CONT.SE('Controle de Demandas'!D:D,"Crítica")</f>
        <v>#NAME?</v>
      </c>
    </row>
    <row r="27" spans="1:2" x14ac:dyDescent="0.3">
      <c r="A27" t="s">
        <v>17</v>
      </c>
      <c r="B27" t="e">
        <f ca="1">CONT.SE('Controle de Demandas'!D:D,"Alta")</f>
        <v>#NAME?</v>
      </c>
    </row>
    <row r="28" spans="1:2" x14ac:dyDescent="0.3">
      <c r="A28" t="s">
        <v>26</v>
      </c>
      <c r="B28" t="e">
        <f ca="1">CONT.SE('Controle de Demandas'!D:D,"Média")</f>
        <v>#NAME?</v>
      </c>
    </row>
    <row r="29" spans="1:2" x14ac:dyDescent="0.3">
      <c r="A29" t="s">
        <v>30</v>
      </c>
      <c r="B29" t="e">
        <f ca="1">CONT.SE('Controle de Demandas'!D:D,"Baixa")</f>
        <v>#NAME?</v>
      </c>
    </row>
    <row r="48" spans="1:8" x14ac:dyDescent="0.3">
      <c r="A48" s="26" t="s">
        <v>12</v>
      </c>
      <c r="B48" s="26" t="s">
        <v>66</v>
      </c>
      <c r="C48" s="26" t="s">
        <v>18</v>
      </c>
      <c r="D48" s="26" t="s">
        <v>67</v>
      </c>
      <c r="F48" t="s">
        <v>68</v>
      </c>
      <c r="G48" t="s">
        <v>66</v>
      </c>
      <c r="H48" t="s">
        <v>69</v>
      </c>
    </row>
    <row r="49" spans="1:8" x14ac:dyDescent="0.3">
      <c r="A49" t="s">
        <v>19</v>
      </c>
      <c r="B49" t="e">
        <f ca="1">CONT.SES('Controle de Demandas'!L:L,"Desenvolvimento",'Controle de Demandas'!E:E,"Concluída")</f>
        <v>#NAME?</v>
      </c>
      <c r="C49" t="e">
        <f ca="1">CONT.SES('Controle de Demandas'!L:L,"Desenvolvimento",'Controle de Demandas'!E:E,"Em Andamento")</f>
        <v>#NAME?</v>
      </c>
      <c r="D49" t="e">
        <f ca="1">CONT.SES('Controle de Demandas'!L:L,"Desenvolvimento",'Controle de Demandas'!E:E,"Planejada")</f>
        <v>#NAME?</v>
      </c>
      <c r="F49" t="s">
        <v>70</v>
      </c>
      <c r="G49">
        <v>2</v>
      </c>
      <c r="H49">
        <v>3</v>
      </c>
    </row>
    <row r="50" spans="1:8" x14ac:dyDescent="0.3">
      <c r="A50" t="s">
        <v>23</v>
      </c>
      <c r="B50" t="e">
        <f ca="1">CONT.SES('Controle de Demandas'!L:L,"Correção",'Controle de Demandas'!E:E,"Concluída")</f>
        <v>#NAME?</v>
      </c>
      <c r="C50" t="e">
        <f ca="1">CONT.SES('Controle de Demandas'!L:L,"Correção",'Controle de Demandas'!E:E,"Em Andamento")</f>
        <v>#NAME?</v>
      </c>
      <c r="D50" t="e">
        <f ca="1">CONT.SES('Controle de Demandas'!L:L,"Correção",'Controle de Demandas'!E:E,"Planejada")</f>
        <v>#NAME?</v>
      </c>
      <c r="F50" t="s">
        <v>71</v>
      </c>
      <c r="G50">
        <v>3</v>
      </c>
      <c r="H50">
        <v>2</v>
      </c>
    </row>
    <row r="51" spans="1:8" x14ac:dyDescent="0.3">
      <c r="A51" t="s">
        <v>35</v>
      </c>
      <c r="B51" t="e">
        <f ca="1">CONT.SES('Controle de Demandas'!L:L,"Teste",'Controle de Demandas'!E:E,"Concluída")</f>
        <v>#NAME?</v>
      </c>
      <c r="C51" t="e">
        <f ca="1">CONT.SES('Controle de Demandas'!L:L,"Teste",'Controle de Demandas'!E:E,"Em Andamento")</f>
        <v>#NAME?</v>
      </c>
      <c r="D51" t="e">
        <f ca="1">CONT.SES('Controle de Demandas'!L:L,"Teste",'Controle de Demandas'!E:E,"Planejada")</f>
        <v>#NAME?</v>
      </c>
      <c r="F51" t="s">
        <v>72</v>
      </c>
      <c r="G51">
        <v>1</v>
      </c>
      <c r="H51">
        <v>4</v>
      </c>
    </row>
    <row r="52" spans="1:8" x14ac:dyDescent="0.3">
      <c r="A52" t="s">
        <v>32</v>
      </c>
      <c r="B52" t="e">
        <f ca="1">CONT.SES('Controle de Demandas'!L:L,"Documentação",'Controle de Demandas'!E:E,"Concluída")</f>
        <v>#NAME?</v>
      </c>
      <c r="C52" t="e">
        <f ca="1">CONT.SES('Controle de Demandas'!L:L,"Documentação",'Controle de Demandas'!E:E,"Em Andamento")</f>
        <v>#NAME?</v>
      </c>
      <c r="D52" t="e">
        <f ca="1">CONT.SES('Controle de Demandas'!L:L,"Documentação",'Controle de Demandas'!E:E,"Planejada")</f>
        <v>#NAME?</v>
      </c>
      <c r="F52" t="s">
        <v>73</v>
      </c>
      <c r="G52">
        <v>2</v>
      </c>
      <c r="H52">
        <v>1</v>
      </c>
    </row>
    <row r="53" spans="1:8" x14ac:dyDescent="0.3">
      <c r="A53" t="s">
        <v>37</v>
      </c>
      <c r="B53" t="e">
        <f ca="1">CONT.SES('Controle de Demandas'!L:L,"Infraestrutura",'Controle de Demandas'!E:E,"Concluída")</f>
        <v>#NAME?</v>
      </c>
      <c r="C53" t="e">
        <f ca="1">CONT.SES('Controle de Demandas'!L:L,"Infraestrutura",'Controle de Demandas'!E:E,"Em Andamento")</f>
        <v>#NAME?</v>
      </c>
      <c r="D53" t="e">
        <f ca="1">CONT.SES('Controle de Demandas'!L:L,"Infraestrutura",'Controle de Demandas'!E:E,"Planejada")</f>
        <v>#NAME?</v>
      </c>
    </row>
    <row r="54" spans="1:8" x14ac:dyDescent="0.3">
      <c r="A54" t="s">
        <v>40</v>
      </c>
      <c r="B54" t="e">
        <f ca="1">CONT.SES('Controle de Demandas'!L:L,"Análise",'Controle de Demandas'!E:E,"Concluída")</f>
        <v>#NAME?</v>
      </c>
      <c r="C54" t="e">
        <f ca="1">CONT.SES('Controle de Demandas'!L:L,"Análise",'Controle de Demandas'!E:E,"Em Andamento")</f>
        <v>#NAME?</v>
      </c>
      <c r="D54" t="e">
        <f ca="1">CONT.SES('Controle de Demandas'!L:L,"Análise",'Controle de Demandas'!E:E,"Planejada")</f>
        <v>#NAME?</v>
      </c>
    </row>
  </sheetData>
  <mergeCells count="4">
    <mergeCell ref="A1:H2"/>
    <mergeCell ref="A3:H3"/>
    <mergeCell ref="A10:H10"/>
    <mergeCell ref="A5:H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35" customWidth="1"/>
    <col min="3" max="3" width="18" customWidth="1"/>
    <col min="4" max="5" width="15" customWidth="1"/>
    <col min="6" max="6" width="30" customWidth="1"/>
  </cols>
  <sheetData>
    <row r="1" spans="1:6" ht="21" x14ac:dyDescent="0.3">
      <c r="A1" s="37" t="s">
        <v>74</v>
      </c>
      <c r="B1" s="31"/>
      <c r="C1" s="31"/>
      <c r="D1" s="31"/>
      <c r="E1" s="31"/>
      <c r="F1" s="31"/>
    </row>
    <row r="3" spans="1:6" ht="15.6" x14ac:dyDescent="0.3">
      <c r="A3" s="36" t="s">
        <v>75</v>
      </c>
      <c r="B3" s="31"/>
      <c r="C3" s="31"/>
      <c r="D3" s="31"/>
      <c r="E3" s="31"/>
      <c r="F3" s="31"/>
    </row>
    <row r="4" spans="1:6" x14ac:dyDescent="0.3">
      <c r="A4" s="21" t="s">
        <v>1</v>
      </c>
      <c r="B4" s="21" t="s">
        <v>2</v>
      </c>
      <c r="C4" s="21" t="s">
        <v>76</v>
      </c>
      <c r="D4" s="21" t="s">
        <v>10</v>
      </c>
      <c r="E4" s="21" t="s">
        <v>11</v>
      </c>
      <c r="F4" s="21" t="s">
        <v>77</v>
      </c>
    </row>
    <row r="5" spans="1:6" x14ac:dyDescent="0.3">
      <c r="A5" s="27">
        <f>'Controle de Demandas'!A3</f>
        <v>1</v>
      </c>
      <c r="B5" s="27" t="str">
        <f>'Controle de Demandas'!B3</f>
        <v>Desenvolvimento do módulo de login</v>
      </c>
      <c r="C5" s="27" t="str">
        <f ca="1">'Controle de Demandas'!M3</f>
        <v>🟢 Baixo</v>
      </c>
      <c r="D5" s="27">
        <f ca="1">'Controle de Demandas'!J3</f>
        <v>5</v>
      </c>
      <c r="E5" s="28">
        <f>'Controle de Demandas'!K3</f>
        <v>0.6</v>
      </c>
      <c r="F5" s="27" t="e">
        <f ca="1">SE(D5&lt;0,"🔴 URGENTE: Reprogramar",SE(E5&lt;0.3,"🟡 Acelerar execução","🟢 Monitorar"))</f>
        <v>#NAME?</v>
      </c>
    </row>
    <row r="6" spans="1:6" x14ac:dyDescent="0.3">
      <c r="A6" s="27">
        <f>'Controle de Demandas'!A4</f>
        <v>2</v>
      </c>
      <c r="B6" s="27" t="str">
        <f>'Controle de Demandas'!B4</f>
        <v>Correção de bugs no relatório</v>
      </c>
      <c r="C6" s="27" t="e">
        <f ca="1">'Controle de Demandas'!M4</f>
        <v>#NAME?</v>
      </c>
      <c r="D6" s="27">
        <f ca="1">'Controle de Demandas'!J4</f>
        <v>2</v>
      </c>
      <c r="E6" s="28">
        <f>'Controle de Demandas'!K4</f>
        <v>0.85</v>
      </c>
      <c r="F6" s="27" t="e">
        <f ca="1">SE(D6&lt;0,"🔴 URGENTE: Reprogramar",SE(E6&lt;0.3,"🟡 Acelerar execução","🟢 Monitorar"))</f>
        <v>#NAME?</v>
      </c>
    </row>
    <row r="7" spans="1:6" x14ac:dyDescent="0.3">
      <c r="A7" s="27">
        <f>'Controle de Demandas'!A5</f>
        <v>3</v>
      </c>
      <c r="B7" s="27" t="str">
        <f>'Controle de Demandas'!B5</f>
        <v>Implementar dashboard analytics</v>
      </c>
      <c r="C7" s="27" t="e">
        <f ca="1">'Controle de Demandas'!M5</f>
        <v>#NAME?</v>
      </c>
      <c r="D7" s="27">
        <f ca="1">'Controle de Demandas'!J5</f>
        <v>15</v>
      </c>
      <c r="E7" s="28">
        <f>'Controle de Demandas'!K5</f>
        <v>0.2</v>
      </c>
      <c r="F7" s="27" t="e">
        <f ca="1">SE(D7&lt;0,"🔴 URGENTE: Reprogramar",SE(E7&lt;0.3,"🟡 Acelerar execução","🟢 Monitorar"))</f>
        <v>#NAME?</v>
      </c>
    </row>
    <row r="10" spans="1:6" ht="15.6" x14ac:dyDescent="0.3">
      <c r="A10" s="36" t="s">
        <v>78</v>
      </c>
      <c r="B10" s="31"/>
      <c r="C10" s="31"/>
      <c r="D10" s="31"/>
    </row>
    <row r="11" spans="1:6" x14ac:dyDescent="0.3">
      <c r="A11" s="29" t="s">
        <v>79</v>
      </c>
      <c r="B11" s="29" t="s">
        <v>80</v>
      </c>
      <c r="C11" s="29" t="s">
        <v>81</v>
      </c>
      <c r="D11" s="29" t="s">
        <v>5</v>
      </c>
    </row>
    <row r="12" spans="1:6" ht="43.2" x14ac:dyDescent="0.3">
      <c r="A12" s="27" t="s">
        <v>82</v>
      </c>
      <c r="B12" s="28" t="e">
        <f ca="1">CONT.SES('Controle de Demandas'!E:E,"Concluída",'Controle de Demandas'!J:J,"&gt;0")/CONT.SE('Controle de Demandas'!E:E,"Concluída")</f>
        <v>#NAME?</v>
      </c>
      <c r="C12" s="27" t="s">
        <v>83</v>
      </c>
      <c r="D12" s="27" t="e">
        <f ca="1">SE(B12&gt;=0.8,"🟢 Excelente",SE(B12&gt;=0.6,"🟡 Atenção","🔴 Crítico"))</f>
        <v>#NAME?</v>
      </c>
    </row>
    <row r="13" spans="1:6" ht="28.8" x14ac:dyDescent="0.3">
      <c r="A13" s="27" t="s">
        <v>84</v>
      </c>
      <c r="B13" s="28" t="e">
        <f ca="1">MÉDIA('Controle de Demandas'!K3:K12)</f>
        <v>#NAME?</v>
      </c>
      <c r="C13" s="27" t="s">
        <v>85</v>
      </c>
      <c r="D13" s="27" t="e">
        <f ca="1">SE(B13&gt;=0.7,"🟢 Excelente",SE(B13&gt;=0.5,"🟡 Atenção","🔴 Crítico"))</f>
        <v>#NAME?</v>
      </c>
    </row>
    <row r="14" spans="1:6" ht="28.8" x14ac:dyDescent="0.3">
      <c r="A14" s="27" t="s">
        <v>86</v>
      </c>
      <c r="B14" s="28" t="e">
        <f ca="1">CONT.SE('Controle de Demandas'!E:E,"Bloqueada")/CONT.VALORES('Controle de Demandas'!A3:A12)</f>
        <v>#NAME?</v>
      </c>
      <c r="C14" s="27" t="s">
        <v>87</v>
      </c>
      <c r="D14" s="27" t="e">
        <f ca="1">SE(B14&lt;=0.1,"🟢 Excelente",SE(B14&lt;=0.2,"🟡 Atenção","🔴 Crítico"))</f>
        <v>#NAME?</v>
      </c>
    </row>
    <row r="15" spans="1:6" ht="43.2" x14ac:dyDescent="0.3">
      <c r="A15" s="27" t="s">
        <v>88</v>
      </c>
      <c r="B15" s="28" t="e">
        <f ca="1">CONT.SES('Controle de Demandas'!D:D,"Crítica",'Controle de Demandas'!J:J,"&lt;3")</f>
        <v>#NAME?</v>
      </c>
      <c r="C15" s="27" t="s">
        <v>89</v>
      </c>
      <c r="D15" s="27" t="e">
        <f ca="1">SE(B15=0,"🟢 Excelente",SE(B15&lt;=2,"🟡 Atenção","🔴 Crítico"))</f>
        <v>#NAME?</v>
      </c>
    </row>
  </sheetData>
  <mergeCells count="3">
    <mergeCell ref="A3:F3"/>
    <mergeCell ref="A10:D10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selection sqref="A1:D1"/>
    </sheetView>
  </sheetViews>
  <sheetFormatPr defaultRowHeight="14.4" x14ac:dyDescent="0.3"/>
  <cols>
    <col min="1" max="1" width="90" customWidth="1"/>
  </cols>
  <sheetData>
    <row r="1" spans="1:4" ht="21" x14ac:dyDescent="0.3">
      <c r="A1" s="42" t="s">
        <v>90</v>
      </c>
      <c r="B1" s="31"/>
      <c r="C1" s="31"/>
      <c r="D1" s="31"/>
    </row>
    <row r="2" spans="1:4" x14ac:dyDescent="0.3">
      <c r="A2" s="38"/>
      <c r="B2" s="31"/>
      <c r="C2" s="31"/>
      <c r="D2" s="31"/>
    </row>
    <row r="3" spans="1:4" ht="15.6" x14ac:dyDescent="0.3">
      <c r="A3" s="41" t="s">
        <v>91</v>
      </c>
      <c r="B3" s="31"/>
      <c r="C3" s="31"/>
      <c r="D3" s="31"/>
    </row>
    <row r="4" spans="1:4" x14ac:dyDescent="0.3">
      <c r="A4" s="38"/>
      <c r="B4" s="31"/>
      <c r="C4" s="31"/>
      <c r="D4" s="31"/>
    </row>
    <row r="5" spans="1:4" x14ac:dyDescent="0.3">
      <c r="A5" s="38" t="s">
        <v>92</v>
      </c>
      <c r="B5" s="31"/>
      <c r="C5" s="31"/>
      <c r="D5" s="31"/>
    </row>
    <row r="6" spans="1:4" x14ac:dyDescent="0.3">
      <c r="A6" s="38"/>
      <c r="B6" s="31"/>
      <c r="C6" s="31"/>
      <c r="D6" s="31"/>
    </row>
    <row r="7" spans="1:4" ht="15.6" x14ac:dyDescent="0.3">
      <c r="A7" s="41" t="s">
        <v>93</v>
      </c>
      <c r="B7" s="31"/>
      <c r="C7" s="31"/>
      <c r="D7" s="31"/>
    </row>
    <row r="8" spans="1:4" x14ac:dyDescent="0.3">
      <c r="A8" s="38"/>
      <c r="B8" s="31"/>
      <c r="C8" s="31"/>
      <c r="D8" s="31"/>
    </row>
    <row r="9" spans="1:4" x14ac:dyDescent="0.3">
      <c r="A9" s="40" t="s">
        <v>94</v>
      </c>
      <c r="B9" s="31"/>
      <c r="C9" s="31"/>
      <c r="D9" s="31"/>
    </row>
    <row r="10" spans="1:4" x14ac:dyDescent="0.3">
      <c r="A10" s="39" t="s">
        <v>95</v>
      </c>
      <c r="B10" s="31"/>
      <c r="C10" s="31"/>
      <c r="D10" s="31"/>
    </row>
    <row r="11" spans="1:4" x14ac:dyDescent="0.3">
      <c r="A11" s="39" t="s">
        <v>96</v>
      </c>
      <c r="B11" s="31"/>
      <c r="C11" s="31"/>
      <c r="D11" s="31"/>
    </row>
    <row r="12" spans="1:4" x14ac:dyDescent="0.3">
      <c r="A12" s="39" t="s">
        <v>97</v>
      </c>
      <c r="B12" s="31"/>
      <c r="C12" s="31"/>
      <c r="D12" s="31"/>
    </row>
    <row r="13" spans="1:4" x14ac:dyDescent="0.3">
      <c r="A13" s="39" t="s">
        <v>98</v>
      </c>
      <c r="B13" s="31"/>
      <c r="C13" s="31"/>
      <c r="D13" s="31"/>
    </row>
    <row r="14" spans="1:4" x14ac:dyDescent="0.3">
      <c r="A14" s="39" t="s">
        <v>99</v>
      </c>
      <c r="B14" s="31"/>
      <c r="C14" s="31"/>
      <c r="D14" s="31"/>
    </row>
    <row r="15" spans="1:4" x14ac:dyDescent="0.3">
      <c r="A15" s="38"/>
      <c r="B15" s="31"/>
      <c r="C15" s="31"/>
      <c r="D15" s="31"/>
    </row>
    <row r="16" spans="1:4" x14ac:dyDescent="0.3">
      <c r="A16" s="40" t="s">
        <v>100</v>
      </c>
      <c r="B16" s="31"/>
      <c r="C16" s="31"/>
      <c r="D16" s="31"/>
    </row>
    <row r="17" spans="1:4" x14ac:dyDescent="0.3">
      <c r="A17" s="39" t="s">
        <v>101</v>
      </c>
      <c r="B17" s="31"/>
      <c r="C17" s="31"/>
      <c r="D17" s="31"/>
    </row>
    <row r="18" spans="1:4" x14ac:dyDescent="0.3">
      <c r="A18" s="39" t="s">
        <v>102</v>
      </c>
      <c r="B18" s="31"/>
      <c r="C18" s="31"/>
      <c r="D18" s="31"/>
    </row>
    <row r="19" spans="1:4" x14ac:dyDescent="0.3">
      <c r="A19" s="39" t="s">
        <v>103</v>
      </c>
      <c r="B19" s="31"/>
      <c r="C19" s="31"/>
      <c r="D19" s="31"/>
    </row>
    <row r="20" spans="1:4" x14ac:dyDescent="0.3">
      <c r="A20" s="39" t="s">
        <v>104</v>
      </c>
      <c r="B20" s="31"/>
      <c r="C20" s="31"/>
      <c r="D20" s="31"/>
    </row>
    <row r="21" spans="1:4" x14ac:dyDescent="0.3">
      <c r="A21" s="39" t="s">
        <v>105</v>
      </c>
      <c r="B21" s="31"/>
      <c r="C21" s="31"/>
      <c r="D21" s="31"/>
    </row>
    <row r="22" spans="1:4" x14ac:dyDescent="0.3">
      <c r="A22" s="39" t="s">
        <v>106</v>
      </c>
      <c r="B22" s="31"/>
      <c r="C22" s="31"/>
      <c r="D22" s="31"/>
    </row>
    <row r="23" spans="1:4" x14ac:dyDescent="0.3">
      <c r="A23" s="38"/>
      <c r="B23" s="31"/>
      <c r="C23" s="31"/>
      <c r="D23" s="31"/>
    </row>
    <row r="24" spans="1:4" x14ac:dyDescent="0.3">
      <c r="A24" s="40" t="s">
        <v>107</v>
      </c>
      <c r="B24" s="31"/>
      <c r="C24" s="31"/>
      <c r="D24" s="31"/>
    </row>
    <row r="25" spans="1:4" x14ac:dyDescent="0.3">
      <c r="A25" s="39" t="s">
        <v>108</v>
      </c>
      <c r="B25" s="31"/>
      <c r="C25" s="31"/>
      <c r="D25" s="31"/>
    </row>
    <row r="26" spans="1:4" x14ac:dyDescent="0.3">
      <c r="A26" s="39" t="s">
        <v>109</v>
      </c>
      <c r="B26" s="31"/>
      <c r="C26" s="31"/>
      <c r="D26" s="31"/>
    </row>
    <row r="27" spans="1:4" x14ac:dyDescent="0.3">
      <c r="A27" s="39" t="s">
        <v>110</v>
      </c>
      <c r="B27" s="31"/>
      <c r="C27" s="31"/>
      <c r="D27" s="31"/>
    </row>
    <row r="28" spans="1:4" x14ac:dyDescent="0.3">
      <c r="A28" s="39" t="s">
        <v>111</v>
      </c>
      <c r="B28" s="31"/>
      <c r="C28" s="31"/>
      <c r="D28" s="31"/>
    </row>
    <row r="29" spans="1:4" x14ac:dyDescent="0.3">
      <c r="A29" s="38"/>
      <c r="B29" s="31"/>
      <c r="C29" s="31"/>
      <c r="D29" s="31"/>
    </row>
    <row r="30" spans="1:4" ht="15.6" x14ac:dyDescent="0.3">
      <c r="A30" s="41" t="s">
        <v>112</v>
      </c>
      <c r="B30" s="31"/>
      <c r="C30" s="31"/>
      <c r="D30" s="31"/>
    </row>
    <row r="31" spans="1:4" x14ac:dyDescent="0.3">
      <c r="A31" s="38"/>
      <c r="B31" s="31"/>
      <c r="C31" s="31"/>
      <c r="D31" s="31"/>
    </row>
    <row r="32" spans="1:4" x14ac:dyDescent="0.3">
      <c r="A32" s="38" t="s">
        <v>113</v>
      </c>
      <c r="B32" s="31"/>
      <c r="C32" s="31"/>
      <c r="D32" s="31"/>
    </row>
    <row r="33" spans="1:4" x14ac:dyDescent="0.3">
      <c r="A33" s="39" t="s">
        <v>114</v>
      </c>
      <c r="B33" s="31"/>
      <c r="C33" s="31"/>
      <c r="D33" s="31"/>
    </row>
    <row r="34" spans="1:4" x14ac:dyDescent="0.3">
      <c r="A34" s="39" t="s">
        <v>115</v>
      </c>
      <c r="B34" s="31"/>
      <c r="C34" s="31"/>
      <c r="D34" s="31"/>
    </row>
    <row r="35" spans="1:4" x14ac:dyDescent="0.3">
      <c r="A35" s="39" t="s">
        <v>116</v>
      </c>
      <c r="B35" s="31"/>
      <c r="C35" s="31"/>
      <c r="D35" s="31"/>
    </row>
    <row r="36" spans="1:4" x14ac:dyDescent="0.3">
      <c r="A36" s="39" t="s">
        <v>117</v>
      </c>
      <c r="B36" s="31"/>
      <c r="C36" s="31"/>
      <c r="D36" s="31"/>
    </row>
    <row r="37" spans="1:4" x14ac:dyDescent="0.3">
      <c r="A37" s="38"/>
      <c r="B37" s="31"/>
      <c r="C37" s="31"/>
      <c r="D37" s="31"/>
    </row>
    <row r="38" spans="1:4" x14ac:dyDescent="0.3">
      <c r="A38" s="38" t="s">
        <v>118</v>
      </c>
      <c r="B38" s="31"/>
      <c r="C38" s="31"/>
      <c r="D38" s="31"/>
    </row>
    <row r="39" spans="1:4" x14ac:dyDescent="0.3">
      <c r="A39" s="39" t="s">
        <v>119</v>
      </c>
      <c r="B39" s="31"/>
      <c r="C39" s="31"/>
      <c r="D39" s="31"/>
    </row>
    <row r="40" spans="1:4" x14ac:dyDescent="0.3">
      <c r="A40" s="39" t="s">
        <v>120</v>
      </c>
      <c r="B40" s="31"/>
      <c r="C40" s="31"/>
      <c r="D40" s="31"/>
    </row>
    <row r="41" spans="1:4" x14ac:dyDescent="0.3">
      <c r="A41" s="39" t="s">
        <v>121</v>
      </c>
      <c r="B41" s="31"/>
      <c r="C41" s="31"/>
      <c r="D41" s="31"/>
    </row>
    <row r="42" spans="1:4" x14ac:dyDescent="0.3">
      <c r="A42" s="38"/>
      <c r="B42" s="31"/>
      <c r="C42" s="31"/>
      <c r="D42" s="31"/>
    </row>
    <row r="43" spans="1:4" x14ac:dyDescent="0.3">
      <c r="A43" s="38" t="s">
        <v>122</v>
      </c>
      <c r="B43" s="31"/>
      <c r="C43" s="31"/>
      <c r="D43" s="31"/>
    </row>
    <row r="44" spans="1:4" x14ac:dyDescent="0.3">
      <c r="A44" s="39" t="s">
        <v>123</v>
      </c>
      <c r="B44" s="31"/>
      <c r="C44" s="31"/>
      <c r="D44" s="31"/>
    </row>
    <row r="45" spans="1:4" x14ac:dyDescent="0.3">
      <c r="A45" s="39" t="s">
        <v>124</v>
      </c>
      <c r="B45" s="31"/>
      <c r="C45" s="31"/>
      <c r="D45" s="31"/>
    </row>
    <row r="46" spans="1:4" x14ac:dyDescent="0.3">
      <c r="A46" s="39" t="s">
        <v>125</v>
      </c>
      <c r="B46" s="31"/>
      <c r="C46" s="31"/>
      <c r="D46" s="31"/>
    </row>
    <row r="47" spans="1:4" x14ac:dyDescent="0.3">
      <c r="A47" s="38"/>
      <c r="B47" s="31"/>
      <c r="C47" s="31"/>
      <c r="D47" s="31"/>
    </row>
    <row r="48" spans="1:4" ht="15.6" x14ac:dyDescent="0.3">
      <c r="A48" s="41" t="s">
        <v>126</v>
      </c>
      <c r="B48" s="31"/>
      <c r="C48" s="31"/>
      <c r="D48" s="31"/>
    </row>
    <row r="49" spans="1:4" x14ac:dyDescent="0.3">
      <c r="A49" s="38"/>
      <c r="B49" s="31"/>
      <c r="C49" s="31"/>
      <c r="D49" s="31"/>
    </row>
    <row r="50" spans="1:4" x14ac:dyDescent="0.3">
      <c r="A50" s="39" t="s">
        <v>127</v>
      </c>
      <c r="B50" s="31"/>
      <c r="C50" s="31"/>
      <c r="D50" s="31"/>
    </row>
    <row r="51" spans="1:4" x14ac:dyDescent="0.3">
      <c r="A51" s="39" t="s">
        <v>128</v>
      </c>
      <c r="B51" s="31"/>
      <c r="C51" s="31"/>
      <c r="D51" s="31"/>
    </row>
    <row r="52" spans="1:4" x14ac:dyDescent="0.3">
      <c r="A52" s="39" t="s">
        <v>129</v>
      </c>
      <c r="B52" s="31"/>
      <c r="C52" s="31"/>
      <c r="D52" s="31"/>
    </row>
    <row r="53" spans="1:4" x14ac:dyDescent="0.3">
      <c r="A53" s="39" t="s">
        <v>130</v>
      </c>
      <c r="B53" s="31"/>
      <c r="C53" s="31"/>
      <c r="D53" s="31"/>
    </row>
    <row r="54" spans="1:4" x14ac:dyDescent="0.3">
      <c r="A54" s="39" t="s">
        <v>131</v>
      </c>
      <c r="B54" s="31"/>
      <c r="C54" s="31"/>
      <c r="D54" s="31"/>
    </row>
    <row r="55" spans="1:4" x14ac:dyDescent="0.3">
      <c r="A55" s="38"/>
      <c r="B55" s="31"/>
      <c r="C55" s="31"/>
      <c r="D55" s="31"/>
    </row>
    <row r="56" spans="1:4" ht="15.6" x14ac:dyDescent="0.3">
      <c r="A56" s="41" t="s">
        <v>132</v>
      </c>
      <c r="B56" s="31"/>
      <c r="C56" s="31"/>
      <c r="D56" s="31"/>
    </row>
    <row r="57" spans="1:4" x14ac:dyDescent="0.3">
      <c r="A57" s="38"/>
      <c r="B57" s="31"/>
      <c r="C57" s="31"/>
      <c r="D57" s="31"/>
    </row>
    <row r="58" spans="1:4" x14ac:dyDescent="0.3">
      <c r="A58" s="39" t="s">
        <v>133</v>
      </c>
      <c r="B58" s="31"/>
      <c r="C58" s="31"/>
      <c r="D58" s="31"/>
    </row>
    <row r="59" spans="1:4" x14ac:dyDescent="0.3">
      <c r="A59" s="39" t="s">
        <v>134</v>
      </c>
      <c r="B59" s="31"/>
      <c r="C59" s="31"/>
      <c r="D59" s="31"/>
    </row>
    <row r="60" spans="1:4" x14ac:dyDescent="0.3">
      <c r="A60" s="39" t="s">
        <v>135</v>
      </c>
      <c r="B60" s="31"/>
      <c r="C60" s="31"/>
      <c r="D60" s="31"/>
    </row>
    <row r="61" spans="1:4" x14ac:dyDescent="0.3">
      <c r="A61" s="39" t="s">
        <v>136</v>
      </c>
      <c r="B61" s="31"/>
      <c r="C61" s="31"/>
      <c r="D61" s="31"/>
    </row>
    <row r="62" spans="1:4" x14ac:dyDescent="0.3">
      <c r="A62" s="38"/>
      <c r="B62" s="31"/>
      <c r="C62" s="31"/>
      <c r="D62" s="31"/>
    </row>
    <row r="63" spans="1:4" x14ac:dyDescent="0.3">
      <c r="A63" s="38" t="s">
        <v>137</v>
      </c>
      <c r="B63" s="31"/>
      <c r="C63" s="31"/>
      <c r="D63" s="31"/>
    </row>
  </sheetData>
  <mergeCells count="63">
    <mergeCell ref="A2:D2"/>
    <mergeCell ref="A33:D33"/>
    <mergeCell ref="A47:D47"/>
    <mergeCell ref="A42:D42"/>
    <mergeCell ref="A32:D32"/>
    <mergeCell ref="A14:D14"/>
    <mergeCell ref="A3:D3"/>
    <mergeCell ref="A21:D21"/>
    <mergeCell ref="A26:D26"/>
    <mergeCell ref="A55:D55"/>
    <mergeCell ref="A57:D57"/>
    <mergeCell ref="A1:D1"/>
    <mergeCell ref="A45:D45"/>
    <mergeCell ref="A61:D61"/>
    <mergeCell ref="A6:D6"/>
    <mergeCell ref="A54:D54"/>
    <mergeCell ref="A7:D7"/>
    <mergeCell ref="A25:D25"/>
    <mergeCell ref="A41:D41"/>
    <mergeCell ref="A16:D16"/>
    <mergeCell ref="A46:D46"/>
    <mergeCell ref="A37:D37"/>
    <mergeCell ref="A18:D18"/>
    <mergeCell ref="A27:D27"/>
    <mergeCell ref="A56:D56"/>
    <mergeCell ref="A12:D12"/>
    <mergeCell ref="A50:D50"/>
    <mergeCell ref="A63:D63"/>
    <mergeCell ref="A10:D10"/>
    <mergeCell ref="A28:D28"/>
    <mergeCell ref="A13:D13"/>
    <mergeCell ref="A44:D44"/>
    <mergeCell ref="A40:D40"/>
    <mergeCell ref="A31:D31"/>
    <mergeCell ref="A58:D58"/>
    <mergeCell ref="A34:D34"/>
    <mergeCell ref="A48:D48"/>
    <mergeCell ref="A30:D30"/>
    <mergeCell ref="A39:D39"/>
    <mergeCell ref="A15:D15"/>
    <mergeCell ref="A59:D59"/>
    <mergeCell ref="A24:D24"/>
    <mergeCell ref="A11:D11"/>
    <mergeCell ref="A53:D53"/>
    <mergeCell ref="A35:D35"/>
    <mergeCell ref="A4:D4"/>
    <mergeCell ref="A62:D62"/>
    <mergeCell ref="A20:D20"/>
    <mergeCell ref="A38:D38"/>
    <mergeCell ref="A29:D29"/>
    <mergeCell ref="A52:D52"/>
    <mergeCell ref="A43:D43"/>
    <mergeCell ref="A19:D19"/>
    <mergeCell ref="A9:D9"/>
    <mergeCell ref="A49:D49"/>
    <mergeCell ref="A51:D51"/>
    <mergeCell ref="A60:D60"/>
    <mergeCell ref="A36:D36"/>
    <mergeCell ref="A5:D5"/>
    <mergeCell ref="A17:D17"/>
    <mergeCell ref="A23:D23"/>
    <mergeCell ref="A8:D8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Demandas</vt:lpstr>
      <vt:lpstr>Dashboard</vt:lpstr>
      <vt:lpstr>Análise de Riscos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André Ribeiro Xavier</cp:lastModifiedBy>
  <dcterms:created xsi:type="dcterms:W3CDTF">2025-12-10T19:27:48Z</dcterms:created>
  <dcterms:modified xsi:type="dcterms:W3CDTF">2025-12-10T19:32:19Z</dcterms:modified>
</cp:coreProperties>
</file>