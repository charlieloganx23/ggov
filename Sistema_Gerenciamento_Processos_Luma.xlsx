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cb175263ccc1a41/Documentos/gerenciar_demanda/"/>
    </mc:Choice>
  </mc:AlternateContent>
  <xr:revisionPtr revIDLastSave="2" documentId="11_62927F2D6AD26E640579134A81B2C0F5DDB7BF32" xr6:coauthVersionLast="47" xr6:coauthVersionMax="47" xr10:uidLastSave="{0728AC23-6E3C-4B2A-9B2E-E820B2D25843}"/>
  <bookViews>
    <workbookView xWindow="57480" yWindow="-120" windowWidth="29040" windowHeight="15720" activeTab="1" xr2:uid="{00000000-000D-0000-FFFF-FFFF00000000}"/>
  </bookViews>
  <sheets>
    <sheet name="Página inicial" sheetId="1" r:id="rId1"/>
    <sheet name="processos A" sheetId="2" r:id="rId2"/>
    <sheet name="processos B" sheetId="3" r:id="rId3"/>
    <sheet name="Dashboard" sheetId="4" r:id="rId4"/>
    <sheet name="Instruçõ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4" l="1"/>
  <c r="B12" i="4"/>
  <c r="B11" i="4"/>
  <c r="B10" i="4"/>
  <c r="B9" i="4"/>
  <c r="I5" i="4"/>
  <c r="G5" i="4"/>
  <c r="E5" i="4"/>
  <c r="C5" i="4"/>
  <c r="A5" i="4"/>
  <c r="H3" i="3"/>
  <c r="B2" i="1"/>
</calcChain>
</file>

<file path=xl/sharedStrings.xml><?xml version="1.0" encoding="utf-8"?>
<sst xmlns="http://schemas.openxmlformats.org/spreadsheetml/2006/main" count="117" uniqueCount="93">
  <si>
    <t>Processo</t>
  </si>
  <si>
    <t>Status</t>
  </si>
  <si>
    <t>Responsável</t>
  </si>
  <si>
    <t>Data de Início</t>
  </si>
  <si>
    <t>Data de Término</t>
  </si>
  <si>
    <t>% Concluído</t>
  </si>
  <si>
    <t>Tempo Estimado (dias)</t>
  </si>
  <si>
    <t>Tempo Real (dias)</t>
  </si>
  <si>
    <t>Processo A</t>
  </si>
  <si>
    <t>João Silva</t>
  </si>
  <si>
    <t>Processo B</t>
  </si>
  <si>
    <t>Em andamento</t>
  </si>
  <si>
    <t>Maria Oliveira</t>
  </si>
  <si>
    <t>Processo C</t>
  </si>
  <si>
    <t>Não iniciado</t>
  </si>
  <si>
    <t>Carlos Pereira</t>
  </si>
  <si>
    <t>Processo D</t>
  </si>
  <si>
    <t>Ana Souza</t>
  </si>
  <si>
    <t>Processo E</t>
  </si>
  <si>
    <t>Concluída</t>
  </si>
  <si>
    <t>Luís Almeida</t>
  </si>
  <si>
    <t>Projeto
Mapeamento dos processos do Gabinete de Governança</t>
  </si>
  <si>
    <t>Descrição da demanda</t>
  </si>
  <si>
    <t>Realizar o mapeamento completo dos processos administrativos e operacionais do Gabinete de Governança (GGOV), com a finalidade de otimizar o desempenho das atividades e garantir maior transparência, eficiência e controle nos fluxos de trabalho.</t>
  </si>
  <si>
    <t>Status atual</t>
  </si>
  <si>
    <t>Página inicial</t>
  </si>
  <si>
    <t>Número sei:</t>
  </si>
  <si>
    <t>Em execução</t>
  </si>
  <si>
    <t>Passos para entregar a demanda:</t>
  </si>
  <si>
    <t>Data de início</t>
  </si>
  <si>
    <t>Data de término</t>
  </si>
  <si>
    <t>Produtos</t>
  </si>
  <si>
    <t>Tarefas</t>
  </si>
  <si>
    <t>Levantamento de Informações</t>
  </si>
  <si>
    <t>Luma Damon de Oliveira Melo</t>
  </si>
  <si>
    <t>Plano do projeto</t>
  </si>
  <si>
    <t>1. Realizar entrevistas com os responsáveis
2. Coletar documentação existente</t>
  </si>
  <si>
    <t>Mapeamento de Processos</t>
  </si>
  <si>
    <t>Suerlei Gondim Dutra</t>
  </si>
  <si>
    <t>Relatório de Levantamento de Dados</t>
  </si>
  <si>
    <t>1. Documentar processos atuais
2. Identificar gargalos</t>
  </si>
  <si>
    <t>Análise de Processos</t>
  </si>
  <si>
    <t>Não iniciada</t>
  </si>
  <si>
    <t>Mapas de Processos (Diagramas)</t>
  </si>
  <si>
    <t>1. Analisar eficiência
2. Propor melhorias</t>
  </si>
  <si>
    <t>Documentação e Relatório Final</t>
  </si>
  <si>
    <t>Relatório de Análise de Processos</t>
  </si>
  <si>
    <t>1. Consolidar documentação
2. Preparar apresentação</t>
  </si>
  <si>
    <t>Validação e Aprovação</t>
  </si>
  <si>
    <t>Relatório Final Validado</t>
  </si>
  <si>
    <t>1. Apresentar para stakeholders
2. Ajustar conforme feedback</t>
  </si>
  <si>
    <t>Entrega e Implementação</t>
  </si>
  <si>
    <t>Processos Implementados</t>
  </si>
  <si>
    <t>1. Treinar equipe
2. Monitorar implementação</t>
  </si>
  <si>
    <t>Projeto
[Nome do Projeto B]</t>
  </si>
  <si>
    <t>[Descrição detalhada do projeto B]</t>
  </si>
  <si>
    <t>Número sei:
0000000000000</t>
  </si>
  <si>
    <t>📊 DASHBOARD - GERENCIAMENTO DE PROCESSOS</t>
  </si>
  <si>
    <t>Total de Processos</t>
  </si>
  <si>
    <t>Em Execução</t>
  </si>
  <si>
    <t>Concluídos</t>
  </si>
  <si>
    <t>Não Iniciados</t>
  </si>
  <si>
    <t>Taxa de Conclusão</t>
  </si>
  <si>
    <t>Quantidade</t>
  </si>
  <si>
    <t>📖 INSTRUÇÕES DE USO DO SISTEMA</t>
  </si>
  <si>
    <t>🔹 PÁGINA INICIAL:</t>
  </si>
  <si>
    <t xml:space="preserve">   • Visão geral de todos os processos em andamento</t>
  </si>
  <si>
    <t xml:space="preserve">   • Resumo com status, responsável, datas e progresso</t>
  </si>
  <si>
    <t xml:space="preserve">   • Use esta aba para acompanhamento rápido</t>
  </si>
  <si>
    <t>🔹 ABAS DE PROCESSOS (processos A, processos B, etc.):</t>
  </si>
  <si>
    <t xml:space="preserve">   • Detalhamento completo de cada processo</t>
  </si>
  <si>
    <t xml:space="preserve">   • Descreva o projeto, número SEI e objetivos</t>
  </si>
  <si>
    <t xml:space="preserve">   • Liste todos os passos necessários para conclusão</t>
  </si>
  <si>
    <t xml:space="preserve">   • Defina responsável, datas, produtos e tarefas para cada passo</t>
  </si>
  <si>
    <t xml:space="preserve">   • O status geral é calculado automaticamente com base nos passos</t>
  </si>
  <si>
    <t>🔹 STATUS DISPONÍVEIS:</t>
  </si>
  <si>
    <t xml:space="preserve">   • Não iniciada / Não iniciado: Processo ainda não começou</t>
  </si>
  <si>
    <t xml:space="preserve">   • Em execução / Em andamento: Processo em desenvolvimento</t>
  </si>
  <si>
    <t xml:space="preserve">   • Concluída: Processo finalizado</t>
  </si>
  <si>
    <t>🔹 DASHBOARD:</t>
  </si>
  <si>
    <t xml:space="preserve">   • Indicadores-chave (KPIs) atualizados automaticamente</t>
  </si>
  <si>
    <t xml:space="preserve">   • Visão consolidada de todos os processos</t>
  </si>
  <si>
    <t>🔹 COMO ADICIONAR NOVO PROCESSO:</t>
  </si>
  <si>
    <t xml:space="preserve">   1. Adicione uma linha na aba 'Página inicial'</t>
  </si>
  <si>
    <t xml:space="preserve">   2. Crie uma nova aba copiando a estrutura de 'processos B'</t>
  </si>
  <si>
    <t xml:space="preserve">   3. Renomeie a aba com o nome do processo</t>
  </si>
  <si>
    <t xml:space="preserve">   4. Preencha os detalhes e passos do processo</t>
  </si>
  <si>
    <t xml:space="preserve">   5. Na 'Página inicial', adicione a fórmula de status: ='nome_da_aba'!H2</t>
  </si>
  <si>
    <t>✅ DICAS:</t>
  </si>
  <si>
    <t xml:space="preserve">   • Use as listas suspensas (dropdown) para Status</t>
  </si>
  <si>
    <t xml:space="preserve">   • Mantenha as datas atualizadas para melhor controle</t>
  </si>
  <si>
    <t xml:space="preserve">   • Revise periodicamente o % Concluído de cada processo</t>
  </si>
  <si>
    <t xml:space="preserve">   • O sistema calcula automaticamente o tempo real e 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</si>
</sst>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8"/>
      <color rgb="FFFFFFFF"/>
      <name val="Calibri"/>
    </font>
    <font>
      <b/>
      <sz val="10"/>
      <name val="Calibri"/>
    </font>
    <font>
      <b/>
      <sz val="14"/>
      <color rgb="FF366092"/>
      <name val="Calibri"/>
    </font>
    <font>
      <b/>
      <sz val="12"/>
      <name val="Calibri"/>
    </font>
    <font>
      <b/>
      <sz val="16"/>
      <color rgb="FFFFFFFF"/>
      <name val="Calibri"/>
    </font>
    <font>
      <b/>
      <sz val="11"/>
      <color rgb="FF36609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6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0" borderId="3" xfId="0" applyBorder="1"/>
    <xf numFmtId="0" fontId="5" fillId="5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center" wrapText="1"/>
    </xf>
    <xf numFmtId="0" fontId="8" fillId="0" borderId="0" xfId="0" applyFont="1"/>
    <xf numFmtId="0" fontId="7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/>
  </sheetViews>
  <sheetFormatPr defaultRowHeight="14.4" x14ac:dyDescent="0.3"/>
  <cols>
    <col min="1" max="2" width="15.44140625" customWidth="1"/>
    <col min="3" max="3" width="18.44140625" customWidth="1"/>
    <col min="4" max="5" width="16.44140625" customWidth="1"/>
    <col min="6" max="6" width="12" customWidth="1"/>
    <col min="7" max="7" width="22" customWidth="1"/>
    <col min="8" max="8" width="19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>
        <f>'processos A'!H2</f>
        <v>0</v>
      </c>
      <c r="C2" s="2" t="s">
        <v>9</v>
      </c>
      <c r="D2" s="3">
        <v>45658</v>
      </c>
      <c r="E2" s="3">
        <v>45667</v>
      </c>
      <c r="F2" s="4">
        <v>0.6</v>
      </c>
      <c r="G2" s="2">
        <v>10</v>
      </c>
      <c r="H2" s="2">
        <v>6</v>
      </c>
    </row>
    <row r="3" spans="1:8" x14ac:dyDescent="0.3">
      <c r="A3" s="2" t="s">
        <v>10</v>
      </c>
      <c r="B3" s="2" t="s">
        <v>11</v>
      </c>
      <c r="C3" s="2" t="s">
        <v>12</v>
      </c>
      <c r="D3" s="3">
        <v>45662</v>
      </c>
      <c r="E3" s="3">
        <v>45669</v>
      </c>
      <c r="F3" s="4">
        <v>0.8</v>
      </c>
      <c r="G3" s="2">
        <v>7</v>
      </c>
      <c r="H3" s="2">
        <v>5</v>
      </c>
    </row>
    <row r="4" spans="1:8" x14ac:dyDescent="0.3">
      <c r="A4" s="2" t="s">
        <v>13</v>
      </c>
      <c r="B4" s="2" t="s">
        <v>14</v>
      </c>
      <c r="C4" s="2" t="s">
        <v>15</v>
      </c>
      <c r="D4" s="3">
        <v>45667</v>
      </c>
      <c r="E4" s="3">
        <v>45677</v>
      </c>
      <c r="F4" s="4">
        <v>0</v>
      </c>
      <c r="G4" s="2">
        <v>10</v>
      </c>
      <c r="H4" s="2">
        <v>0</v>
      </c>
    </row>
    <row r="5" spans="1:8" x14ac:dyDescent="0.3">
      <c r="A5" s="2" t="s">
        <v>16</v>
      </c>
      <c r="B5" s="2" t="s">
        <v>11</v>
      </c>
      <c r="C5" s="2" t="s">
        <v>17</v>
      </c>
      <c r="D5" s="3">
        <v>45665</v>
      </c>
      <c r="E5" s="3">
        <v>45672</v>
      </c>
      <c r="F5" s="4">
        <v>0.5</v>
      </c>
      <c r="G5" s="2">
        <v>7</v>
      </c>
      <c r="H5" s="2">
        <v>3</v>
      </c>
    </row>
    <row r="6" spans="1:8" x14ac:dyDescent="0.3">
      <c r="A6" s="2" t="s">
        <v>18</v>
      </c>
      <c r="B6" s="2" t="s">
        <v>19</v>
      </c>
      <c r="C6" s="2" t="s">
        <v>20</v>
      </c>
      <c r="D6" s="3">
        <v>45659</v>
      </c>
      <c r="E6" s="3">
        <v>45664</v>
      </c>
      <c r="F6" s="4">
        <v>1</v>
      </c>
      <c r="G6" s="2">
        <v>5</v>
      </c>
      <c r="H6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tabSelected="1" workbookViewId="0">
      <selection activeCell="H3" sqref="H3:H4"/>
    </sheetView>
  </sheetViews>
  <sheetFormatPr defaultRowHeight="14.4" x14ac:dyDescent="0.3"/>
  <cols>
    <col min="1" max="1" width="30" customWidth="1"/>
    <col min="2" max="2" width="15" customWidth="1"/>
    <col min="3" max="3" width="25" customWidth="1"/>
    <col min="4" max="5" width="20" customWidth="1"/>
    <col min="6" max="6" width="23" customWidth="1"/>
    <col min="7" max="7" width="63" customWidth="1"/>
    <col min="8" max="8" width="12.109375" bestFit="1" customWidth="1"/>
    <col min="9" max="9" width="12.21875" bestFit="1" customWidth="1"/>
  </cols>
  <sheetData>
    <row r="1" spans="1:9" ht="49.95" customHeight="1" x14ac:dyDescent="0.3">
      <c r="A1" s="15" t="s">
        <v>21</v>
      </c>
      <c r="B1" s="12" t="s">
        <v>22</v>
      </c>
      <c r="C1" s="8" t="s">
        <v>23</v>
      </c>
      <c r="D1" s="9"/>
      <c r="E1" s="9"/>
      <c r="F1" s="9"/>
      <c r="G1" s="9"/>
      <c r="H1" s="14" t="s">
        <v>24</v>
      </c>
      <c r="I1" s="13" t="s">
        <v>25</v>
      </c>
    </row>
    <row r="2" spans="1:9" ht="49.95" customHeight="1" x14ac:dyDescent="0.3">
      <c r="A2" s="9"/>
      <c r="B2" s="9"/>
      <c r="C2" s="9"/>
      <c r="D2" s="9"/>
      <c r="E2" s="9"/>
      <c r="F2" s="9"/>
      <c r="G2" s="9"/>
      <c r="H2" s="9"/>
      <c r="I2" s="9"/>
    </row>
    <row r="3" spans="1:9" x14ac:dyDescent="0.3">
      <c r="A3" s="8" t="s">
        <v>26</v>
      </c>
      <c r="H3" s="10" t="s">
        <v>27</v>
      </c>
    </row>
    <row r="4" spans="1:9" x14ac:dyDescent="0.3">
      <c r="A4" s="9"/>
      <c r="H4" s="11"/>
    </row>
    <row r="5" spans="1:9" x14ac:dyDescent="0.3">
      <c r="A5" s="1" t="s">
        <v>28</v>
      </c>
      <c r="B5" s="1" t="s">
        <v>1</v>
      </c>
      <c r="C5" s="1" t="s">
        <v>2</v>
      </c>
      <c r="D5" s="1" t="s">
        <v>29</v>
      </c>
      <c r="E5" s="1" t="s">
        <v>30</v>
      </c>
      <c r="F5" s="1" t="s">
        <v>31</v>
      </c>
      <c r="G5" s="1" t="s">
        <v>32</v>
      </c>
    </row>
    <row r="6" spans="1:9" ht="40.049999999999997" customHeight="1" x14ac:dyDescent="0.3">
      <c r="A6" s="5" t="s">
        <v>33</v>
      </c>
      <c r="B6" s="5" t="s">
        <v>27</v>
      </c>
      <c r="C6" s="5" t="s">
        <v>34</v>
      </c>
      <c r="D6" s="6">
        <v>46001</v>
      </c>
      <c r="E6" s="6">
        <v>46038</v>
      </c>
      <c r="F6" s="5" t="s">
        <v>35</v>
      </c>
      <c r="G6" s="5" t="s">
        <v>36</v>
      </c>
    </row>
    <row r="7" spans="1:9" ht="40.049999999999997" customHeight="1" x14ac:dyDescent="0.3">
      <c r="A7" s="5" t="s">
        <v>37</v>
      </c>
      <c r="B7" s="5" t="s">
        <v>27</v>
      </c>
      <c r="C7" s="5" t="s">
        <v>38</v>
      </c>
      <c r="D7" s="6">
        <v>46001</v>
      </c>
      <c r="E7" s="6">
        <v>46053</v>
      </c>
      <c r="F7" s="5" t="s">
        <v>39</v>
      </c>
      <c r="G7" s="5" t="s">
        <v>40</v>
      </c>
    </row>
    <row r="8" spans="1:9" ht="40.049999999999997" customHeight="1" x14ac:dyDescent="0.3">
      <c r="A8" s="5" t="s">
        <v>41</v>
      </c>
      <c r="B8" s="5" t="s">
        <v>42</v>
      </c>
      <c r="C8" s="5"/>
      <c r="D8" s="5"/>
      <c r="E8" s="5"/>
      <c r="F8" s="5" t="s">
        <v>43</v>
      </c>
      <c r="G8" s="5" t="s">
        <v>44</v>
      </c>
    </row>
    <row r="9" spans="1:9" ht="40.049999999999997" customHeight="1" x14ac:dyDescent="0.3">
      <c r="A9" s="5" t="s">
        <v>45</v>
      </c>
      <c r="B9" s="5" t="s">
        <v>42</v>
      </c>
      <c r="C9" s="5"/>
      <c r="D9" s="5"/>
      <c r="E9" s="5"/>
      <c r="F9" s="5" t="s">
        <v>46</v>
      </c>
      <c r="G9" s="5" t="s">
        <v>47</v>
      </c>
    </row>
    <row r="10" spans="1:9" ht="40.049999999999997" customHeight="1" x14ac:dyDescent="0.3">
      <c r="A10" s="5" t="s">
        <v>48</v>
      </c>
      <c r="B10" s="5" t="s">
        <v>42</v>
      </c>
      <c r="C10" s="5"/>
      <c r="D10" s="5"/>
      <c r="E10" s="5"/>
      <c r="F10" s="5" t="s">
        <v>49</v>
      </c>
      <c r="G10" s="5" t="s">
        <v>50</v>
      </c>
    </row>
    <row r="11" spans="1:9" ht="40.049999999999997" customHeight="1" x14ac:dyDescent="0.3">
      <c r="A11" s="5" t="s">
        <v>51</v>
      </c>
      <c r="B11" s="5" t="s">
        <v>42</v>
      </c>
      <c r="C11" s="5"/>
      <c r="D11" s="5"/>
      <c r="E11" s="5"/>
      <c r="F11" s="5" t="s">
        <v>52</v>
      </c>
      <c r="G11" s="5" t="s">
        <v>53</v>
      </c>
    </row>
  </sheetData>
  <mergeCells count="7">
    <mergeCell ref="A3:A4"/>
    <mergeCell ref="C1:G2"/>
    <mergeCell ref="H3:H4"/>
    <mergeCell ref="B1:B2"/>
    <mergeCell ref="I1:I2"/>
    <mergeCell ref="H1:H2"/>
    <mergeCell ref="A1:A2"/>
  </mergeCells>
  <dataValidations count="1">
    <dataValidation type="list" errorTitle="Entrada Inválida" error="Selecione um status válido" sqref="B6:B20" xr:uid="{00000000-0002-0000-0100-000000000000}">
      <formula1>"Não iniciada,Em execução,Concluída"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selection activeCell="B6" sqref="B6"/>
    </sheetView>
  </sheetViews>
  <sheetFormatPr defaultRowHeight="14.4" x14ac:dyDescent="0.3"/>
  <cols>
    <col min="1" max="1" width="30" customWidth="1"/>
    <col min="2" max="2" width="15" customWidth="1"/>
    <col min="3" max="3" width="25" customWidth="1"/>
    <col min="4" max="5" width="20" customWidth="1"/>
    <col min="6" max="6" width="23" customWidth="1"/>
    <col min="7" max="7" width="63" customWidth="1"/>
  </cols>
  <sheetData>
    <row r="1" spans="1:9" ht="49.95" customHeight="1" x14ac:dyDescent="0.3">
      <c r="A1" s="15" t="s">
        <v>54</v>
      </c>
      <c r="B1" s="12" t="s">
        <v>22</v>
      </c>
      <c r="C1" s="8" t="s">
        <v>55</v>
      </c>
      <c r="D1" s="9"/>
      <c r="E1" s="9"/>
      <c r="F1" s="9"/>
      <c r="G1" s="9"/>
      <c r="H1" s="14" t="s">
        <v>24</v>
      </c>
      <c r="I1" s="13" t="s">
        <v>25</v>
      </c>
    </row>
    <row r="2" spans="1:9" ht="49.95" customHeight="1" x14ac:dyDescent="0.3">
      <c r="A2" s="9"/>
      <c r="B2" s="9"/>
      <c r="C2" s="9"/>
      <c r="D2" s="9"/>
      <c r="E2" s="9"/>
      <c r="F2" s="9"/>
      <c r="G2" s="9"/>
      <c r="H2" s="9"/>
      <c r="I2" s="9"/>
    </row>
    <row r="3" spans="1:9" x14ac:dyDescent="0.3">
      <c r="A3" s="8" t="s">
        <v>56</v>
      </c>
      <c r="H3" s="10" t="e">
        <f ca="1">SE(CONT.SE(B6:B11,"Concluída")=6,"Concluída",SE(CONT.SE(B6:B11,"Em execução")&gt;0,"Em execução","Não iniciada"))</f>
        <v>#NAME?</v>
      </c>
    </row>
    <row r="4" spans="1:9" x14ac:dyDescent="0.3">
      <c r="A4" s="9"/>
      <c r="H4" s="11"/>
    </row>
    <row r="5" spans="1:9" x14ac:dyDescent="0.3">
      <c r="A5" s="1" t="s">
        <v>28</v>
      </c>
      <c r="B5" s="1" t="s">
        <v>1</v>
      </c>
      <c r="C5" s="1" t="s">
        <v>2</v>
      </c>
      <c r="D5" s="1" t="s">
        <v>29</v>
      </c>
      <c r="E5" s="1" t="s">
        <v>30</v>
      </c>
      <c r="F5" s="1" t="s">
        <v>31</v>
      </c>
      <c r="G5" s="1" t="s">
        <v>32</v>
      </c>
    </row>
    <row r="6" spans="1:9" ht="40.049999999999997" customHeight="1" x14ac:dyDescent="0.3">
      <c r="A6" s="5"/>
      <c r="B6" s="5"/>
      <c r="C6" s="5"/>
      <c r="D6" s="5"/>
      <c r="E6" s="5"/>
      <c r="F6" s="5"/>
      <c r="G6" s="5"/>
    </row>
    <row r="7" spans="1:9" ht="40.049999999999997" customHeight="1" x14ac:dyDescent="0.3">
      <c r="A7" s="5"/>
      <c r="B7" s="5"/>
      <c r="C7" s="5"/>
      <c r="D7" s="5"/>
      <c r="E7" s="5"/>
      <c r="F7" s="5"/>
      <c r="G7" s="5"/>
    </row>
    <row r="8" spans="1:9" ht="40.049999999999997" customHeight="1" x14ac:dyDescent="0.3">
      <c r="A8" s="5"/>
      <c r="B8" s="5"/>
      <c r="C8" s="5"/>
      <c r="D8" s="5"/>
      <c r="E8" s="5"/>
      <c r="F8" s="5"/>
      <c r="G8" s="5"/>
    </row>
    <row r="9" spans="1:9" ht="40.049999999999997" customHeight="1" x14ac:dyDescent="0.3">
      <c r="A9" s="5"/>
      <c r="B9" s="5"/>
      <c r="C9" s="5"/>
      <c r="D9" s="5"/>
      <c r="E9" s="5"/>
      <c r="F9" s="5"/>
      <c r="G9" s="5"/>
    </row>
    <row r="10" spans="1:9" ht="40.049999999999997" customHeight="1" x14ac:dyDescent="0.3">
      <c r="A10" s="5"/>
      <c r="B10" s="5"/>
      <c r="C10" s="5"/>
      <c r="D10" s="5"/>
      <c r="E10" s="5"/>
      <c r="F10" s="5"/>
      <c r="G10" s="5"/>
    </row>
    <row r="11" spans="1:9" ht="40.049999999999997" customHeight="1" x14ac:dyDescent="0.3">
      <c r="A11" s="5"/>
      <c r="B11" s="5"/>
      <c r="C11" s="5"/>
      <c r="D11" s="5"/>
      <c r="E11" s="5"/>
      <c r="F11" s="5"/>
      <c r="G11" s="5"/>
    </row>
  </sheetData>
  <mergeCells count="7">
    <mergeCell ref="A3:A4"/>
    <mergeCell ref="C1:G2"/>
    <mergeCell ref="H3:H4"/>
    <mergeCell ref="B1:B2"/>
    <mergeCell ref="I1:I2"/>
    <mergeCell ref="H1:H2"/>
    <mergeCell ref="A1:A2"/>
  </mergeCells>
  <dataValidations count="1">
    <dataValidation type="list" errorTitle="Entrada Inválida" error="Selecione um status válido" sqref="B6:B20" xr:uid="{00000000-0002-0000-0200-000000000000}">
      <formula1>"Não iniciada,Em execução,Concluída"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activeCell="B9" sqref="B9"/>
    </sheetView>
  </sheetViews>
  <sheetFormatPr defaultRowHeight="14.4" x14ac:dyDescent="0.3"/>
  <cols>
    <col min="1" max="6" width="18" customWidth="1"/>
  </cols>
  <sheetData>
    <row r="1" spans="1:10" x14ac:dyDescent="0.3">
      <c r="A1" s="19" t="s">
        <v>57</v>
      </c>
      <c r="B1" s="9"/>
      <c r="C1" s="9"/>
      <c r="D1" s="9"/>
      <c r="E1" s="9"/>
      <c r="F1" s="9"/>
    </row>
    <row r="2" spans="1:10" x14ac:dyDescent="0.3">
      <c r="A2" s="9"/>
      <c r="B2" s="9"/>
      <c r="C2" s="9"/>
      <c r="D2" s="9"/>
      <c r="E2" s="9"/>
      <c r="F2" s="9"/>
    </row>
    <row r="4" spans="1:10" x14ac:dyDescent="0.3">
      <c r="A4" s="16" t="s">
        <v>58</v>
      </c>
      <c r="B4" s="17"/>
      <c r="C4" s="16" t="s">
        <v>59</v>
      </c>
      <c r="D4" s="17"/>
      <c r="E4" s="16" t="s">
        <v>60</v>
      </c>
      <c r="F4" s="17"/>
      <c r="G4" s="16" t="s">
        <v>61</v>
      </c>
      <c r="H4" s="17"/>
      <c r="I4" s="16" t="s">
        <v>62</v>
      </c>
      <c r="J4" s="17"/>
    </row>
    <row r="5" spans="1:10" ht="18" x14ac:dyDescent="0.3">
      <c r="A5" s="18" t="e">
        <f ca="1">CONT.VALORES('Página inicial'!A2:A100)-CONT.SE('Página inicial'!A2:A100,"")</f>
        <v>#NAME?</v>
      </c>
      <c r="B5" s="17"/>
      <c r="C5" s="18" t="e">
        <f ca="1">CONT.SE('Página inicial'!B:B,"Em execução")+CONT.SE('Página inicial'!B:B,"Em andamento")</f>
        <v>#NAME?</v>
      </c>
      <c r="D5" s="17"/>
      <c r="E5" s="18" t="e">
        <f ca="1">CONT.SE('Página inicial'!B:B,"Concluída")</f>
        <v>#NAME?</v>
      </c>
      <c r="F5" s="17"/>
      <c r="G5" s="18" t="e">
        <f ca="1">CONT.SE('Página inicial'!B:B,"Não iniciado")+CONT.SE('Página inicial'!B:B,"Não iniciada")</f>
        <v>#NAME?</v>
      </c>
      <c r="H5" s="17"/>
      <c r="I5" s="18" t="e">
        <f ca="1">SE(B4=0,"0%",TEXTO(D4/B4,"0%"))</f>
        <v>#NAME?</v>
      </c>
      <c r="J5" s="17"/>
    </row>
    <row r="8" spans="1:10" ht="15.6" x14ac:dyDescent="0.3">
      <c r="A8" s="7" t="s">
        <v>1</v>
      </c>
      <c r="B8" s="7" t="s">
        <v>63</v>
      </c>
    </row>
    <row r="9" spans="1:10" x14ac:dyDescent="0.3">
      <c r="A9" t="s">
        <v>14</v>
      </c>
      <c r="B9" t="e">
        <f ca="1">CONT.SE('Página inicial'!B:B,"Não iniciado")</f>
        <v>#NAME?</v>
      </c>
    </row>
    <row r="10" spans="1:10" x14ac:dyDescent="0.3">
      <c r="A10" t="s">
        <v>42</v>
      </c>
      <c r="B10" t="e">
        <f ca="1">CONT.SE('Página inicial'!B:B,"Não iniciada")</f>
        <v>#NAME?</v>
      </c>
    </row>
    <row r="11" spans="1:10" x14ac:dyDescent="0.3">
      <c r="A11" t="s">
        <v>27</v>
      </c>
      <c r="B11" t="e">
        <f ca="1">CONT.SE('Página inicial'!B:B,"Em execução")</f>
        <v>#NAME?</v>
      </c>
    </row>
    <row r="12" spans="1:10" x14ac:dyDescent="0.3">
      <c r="A12" t="s">
        <v>11</v>
      </c>
      <c r="B12" t="e">
        <f ca="1">CONT.SE('Página inicial'!B:B,"Em andamento")</f>
        <v>#NAME?</v>
      </c>
    </row>
    <row r="13" spans="1:10" x14ac:dyDescent="0.3">
      <c r="A13" t="s">
        <v>19</v>
      </c>
      <c r="B13" t="e">
        <f ca="1">CONT.SE('Página inicial'!B:B,"Concluída")</f>
        <v>#NAME?</v>
      </c>
    </row>
  </sheetData>
  <mergeCells count="11">
    <mergeCell ref="A1:F2"/>
    <mergeCell ref="A5:B5"/>
    <mergeCell ref="E5:F5"/>
    <mergeCell ref="G5:H5"/>
    <mergeCell ref="I5:J5"/>
    <mergeCell ref="C4:D4"/>
    <mergeCell ref="A4:B4"/>
    <mergeCell ref="G4:H4"/>
    <mergeCell ref="E4:F4"/>
    <mergeCell ref="I4:J4"/>
    <mergeCell ref="C5:D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5"/>
  <sheetViews>
    <sheetView workbookViewId="0">
      <selection sqref="A1:D1"/>
    </sheetView>
  </sheetViews>
  <sheetFormatPr defaultRowHeight="14.4" x14ac:dyDescent="0.3"/>
  <cols>
    <col min="1" max="1" width="80" customWidth="1"/>
  </cols>
  <sheetData>
    <row r="1" spans="1:4" ht="21" x14ac:dyDescent="0.3">
      <c r="A1" s="23" t="s">
        <v>64</v>
      </c>
      <c r="B1" s="9"/>
      <c r="C1" s="9"/>
      <c r="D1" s="9"/>
    </row>
    <row r="2" spans="1:4" x14ac:dyDescent="0.3">
      <c r="A2" s="21"/>
      <c r="B2" s="9"/>
      <c r="C2" s="9"/>
      <c r="D2" s="9"/>
    </row>
    <row r="3" spans="1:4" x14ac:dyDescent="0.3">
      <c r="A3" s="22" t="s">
        <v>65</v>
      </c>
      <c r="B3" s="9"/>
      <c r="C3" s="9"/>
      <c r="D3" s="9"/>
    </row>
    <row r="4" spans="1:4" x14ac:dyDescent="0.3">
      <c r="A4" s="20" t="s">
        <v>66</v>
      </c>
      <c r="B4" s="9"/>
      <c r="C4" s="9"/>
      <c r="D4" s="9"/>
    </row>
    <row r="5" spans="1:4" x14ac:dyDescent="0.3">
      <c r="A5" s="20" t="s">
        <v>67</v>
      </c>
      <c r="B5" s="9"/>
      <c r="C5" s="9"/>
      <c r="D5" s="9"/>
    </row>
    <row r="6" spans="1:4" x14ac:dyDescent="0.3">
      <c r="A6" s="20" t="s">
        <v>68</v>
      </c>
      <c r="B6" s="9"/>
      <c r="C6" s="9"/>
      <c r="D6" s="9"/>
    </row>
    <row r="7" spans="1:4" x14ac:dyDescent="0.3">
      <c r="A7" s="21"/>
      <c r="B7" s="9"/>
      <c r="C7" s="9"/>
      <c r="D7" s="9"/>
    </row>
    <row r="8" spans="1:4" x14ac:dyDescent="0.3">
      <c r="A8" s="22" t="s">
        <v>69</v>
      </c>
      <c r="B8" s="9"/>
      <c r="C8" s="9"/>
      <c r="D8" s="9"/>
    </row>
    <row r="9" spans="1:4" x14ac:dyDescent="0.3">
      <c r="A9" s="20" t="s">
        <v>70</v>
      </c>
      <c r="B9" s="9"/>
      <c r="C9" s="9"/>
      <c r="D9" s="9"/>
    </row>
    <row r="10" spans="1:4" x14ac:dyDescent="0.3">
      <c r="A10" s="20" t="s">
        <v>71</v>
      </c>
      <c r="B10" s="9"/>
      <c r="C10" s="9"/>
      <c r="D10" s="9"/>
    </row>
    <row r="11" spans="1:4" x14ac:dyDescent="0.3">
      <c r="A11" s="20" t="s">
        <v>72</v>
      </c>
      <c r="B11" s="9"/>
      <c r="C11" s="9"/>
      <c r="D11" s="9"/>
    </row>
    <row r="12" spans="1:4" x14ac:dyDescent="0.3">
      <c r="A12" s="20" t="s">
        <v>73</v>
      </c>
      <c r="B12" s="9"/>
      <c r="C12" s="9"/>
      <c r="D12" s="9"/>
    </row>
    <row r="13" spans="1:4" x14ac:dyDescent="0.3">
      <c r="A13" s="20" t="s">
        <v>74</v>
      </c>
      <c r="B13" s="9"/>
      <c r="C13" s="9"/>
      <c r="D13" s="9"/>
    </row>
    <row r="14" spans="1:4" x14ac:dyDescent="0.3">
      <c r="A14" s="21"/>
      <c r="B14" s="9"/>
      <c r="C14" s="9"/>
      <c r="D14" s="9"/>
    </row>
    <row r="15" spans="1:4" x14ac:dyDescent="0.3">
      <c r="A15" s="22" t="s">
        <v>75</v>
      </c>
      <c r="B15" s="9"/>
      <c r="C15" s="9"/>
      <c r="D15" s="9"/>
    </row>
    <row r="16" spans="1:4" x14ac:dyDescent="0.3">
      <c r="A16" s="20" t="s">
        <v>76</v>
      </c>
      <c r="B16" s="9"/>
      <c r="C16" s="9"/>
      <c r="D16" s="9"/>
    </row>
    <row r="17" spans="1:4" x14ac:dyDescent="0.3">
      <c r="A17" s="20" t="s">
        <v>77</v>
      </c>
      <c r="B17" s="9"/>
      <c r="C17" s="9"/>
      <c r="D17" s="9"/>
    </row>
    <row r="18" spans="1:4" x14ac:dyDescent="0.3">
      <c r="A18" s="20" t="s">
        <v>78</v>
      </c>
      <c r="B18" s="9"/>
      <c r="C18" s="9"/>
      <c r="D18" s="9"/>
    </row>
    <row r="19" spans="1:4" x14ac:dyDescent="0.3">
      <c r="A19" s="21"/>
      <c r="B19" s="9"/>
      <c r="C19" s="9"/>
      <c r="D19" s="9"/>
    </row>
    <row r="20" spans="1:4" x14ac:dyDescent="0.3">
      <c r="A20" s="22" t="s">
        <v>79</v>
      </c>
      <c r="B20" s="9"/>
      <c r="C20" s="9"/>
      <c r="D20" s="9"/>
    </row>
    <row r="21" spans="1:4" x14ac:dyDescent="0.3">
      <c r="A21" s="20" t="s">
        <v>80</v>
      </c>
      <c r="B21" s="9"/>
      <c r="C21" s="9"/>
      <c r="D21" s="9"/>
    </row>
    <row r="22" spans="1:4" x14ac:dyDescent="0.3">
      <c r="A22" s="20" t="s">
        <v>81</v>
      </c>
      <c r="B22" s="9"/>
      <c r="C22" s="9"/>
      <c r="D22" s="9"/>
    </row>
    <row r="23" spans="1:4" x14ac:dyDescent="0.3">
      <c r="A23" s="21"/>
      <c r="B23" s="9"/>
      <c r="C23" s="9"/>
      <c r="D23" s="9"/>
    </row>
    <row r="24" spans="1:4" x14ac:dyDescent="0.3">
      <c r="A24" s="22" t="s">
        <v>82</v>
      </c>
      <c r="B24" s="9"/>
      <c r="C24" s="9"/>
      <c r="D24" s="9"/>
    </row>
    <row r="25" spans="1:4" x14ac:dyDescent="0.3">
      <c r="A25" s="20" t="s">
        <v>83</v>
      </c>
      <c r="B25" s="9"/>
      <c r="C25" s="9"/>
      <c r="D25" s="9"/>
    </row>
    <row r="26" spans="1:4" x14ac:dyDescent="0.3">
      <c r="A26" s="20" t="s">
        <v>84</v>
      </c>
      <c r="B26" s="9"/>
      <c r="C26" s="9"/>
      <c r="D26" s="9"/>
    </row>
    <row r="27" spans="1:4" x14ac:dyDescent="0.3">
      <c r="A27" s="20" t="s">
        <v>85</v>
      </c>
      <c r="B27" s="9"/>
      <c r="C27" s="9"/>
      <c r="D27" s="9"/>
    </row>
    <row r="28" spans="1:4" x14ac:dyDescent="0.3">
      <c r="A28" s="20" t="s">
        <v>86</v>
      </c>
      <c r="B28" s="9"/>
      <c r="C28" s="9"/>
      <c r="D28" s="9"/>
    </row>
    <row r="29" spans="1:4" x14ac:dyDescent="0.3">
      <c r="A29" s="20" t="s">
        <v>87</v>
      </c>
      <c r="B29" s="9"/>
      <c r="C29" s="9"/>
      <c r="D29" s="9"/>
    </row>
    <row r="30" spans="1:4" x14ac:dyDescent="0.3">
      <c r="A30" s="21"/>
      <c r="B30" s="9"/>
      <c r="C30" s="9"/>
      <c r="D30" s="9"/>
    </row>
    <row r="31" spans="1:4" x14ac:dyDescent="0.3">
      <c r="A31" s="21" t="s">
        <v>88</v>
      </c>
      <c r="B31" s="9"/>
      <c r="C31" s="9"/>
      <c r="D31" s="9"/>
    </row>
    <row r="32" spans="1:4" x14ac:dyDescent="0.3">
      <c r="A32" s="20" t="s">
        <v>89</v>
      </c>
      <c r="B32" s="9"/>
      <c r="C32" s="9"/>
      <c r="D32" s="9"/>
    </row>
    <row r="33" spans="1:4" x14ac:dyDescent="0.3">
      <c r="A33" s="20" t="s">
        <v>90</v>
      </c>
      <c r="B33" s="9"/>
      <c r="C33" s="9"/>
      <c r="D33" s="9"/>
    </row>
    <row r="34" spans="1:4" x14ac:dyDescent="0.3">
      <c r="A34" s="20" t="s">
        <v>91</v>
      </c>
      <c r="B34" s="9"/>
      <c r="C34" s="9"/>
      <c r="D34" s="9"/>
    </row>
    <row r="35" spans="1:4" x14ac:dyDescent="0.3">
      <c r="A35" s="20" t="s">
        <v>92</v>
      </c>
      <c r="B35" s="9"/>
      <c r="C35" s="9"/>
      <c r="D35" s="9"/>
    </row>
  </sheetData>
  <mergeCells count="35">
    <mergeCell ref="A26:D26"/>
    <mergeCell ref="A2:D2"/>
    <mergeCell ref="A33:D33"/>
    <mergeCell ref="A32:D32"/>
    <mergeCell ref="A14:D14"/>
    <mergeCell ref="A1:D1"/>
    <mergeCell ref="A6:D6"/>
    <mergeCell ref="A7:D7"/>
    <mergeCell ref="A25:D25"/>
    <mergeCell ref="A16:D16"/>
    <mergeCell ref="A18:D18"/>
    <mergeCell ref="A12:D12"/>
    <mergeCell ref="A3:D3"/>
    <mergeCell ref="A21:D21"/>
    <mergeCell ref="A35:D35"/>
    <mergeCell ref="A4:D4"/>
    <mergeCell ref="A20:D20"/>
    <mergeCell ref="A29:D29"/>
    <mergeCell ref="A19:D19"/>
    <mergeCell ref="A10:D10"/>
    <mergeCell ref="A28:D28"/>
    <mergeCell ref="A13:D13"/>
    <mergeCell ref="A9:D9"/>
    <mergeCell ref="A31:D31"/>
    <mergeCell ref="A34:D34"/>
    <mergeCell ref="A30:D30"/>
    <mergeCell ref="A15:D15"/>
    <mergeCell ref="A24:D24"/>
    <mergeCell ref="A11:D11"/>
    <mergeCell ref="A27:D27"/>
    <mergeCell ref="A5:D5"/>
    <mergeCell ref="A17:D17"/>
    <mergeCell ref="A23:D23"/>
    <mergeCell ref="A8:D8"/>
    <mergeCell ref="A22:D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Página inicial</vt:lpstr>
      <vt:lpstr>processos A</vt:lpstr>
      <vt:lpstr>processos B</vt:lpstr>
      <vt:lpstr>Dashboard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André Ribeiro Xavier</cp:lastModifiedBy>
  <dcterms:created xsi:type="dcterms:W3CDTF">2025-12-10T19:22:22Z</dcterms:created>
  <dcterms:modified xsi:type="dcterms:W3CDTF">2025-12-10T19:26:51Z</dcterms:modified>
</cp:coreProperties>
</file>