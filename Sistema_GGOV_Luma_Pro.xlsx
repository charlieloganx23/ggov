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cb175263ccc1a41/Documentos/gerenciar_demanda/"/>
    </mc:Choice>
  </mc:AlternateContent>
  <xr:revisionPtr revIDLastSave="108" documentId="11_FF0B486201D8D29C3B0D4AEF5D39221736F5B94A" xr6:coauthVersionLast="47" xr6:coauthVersionMax="47" xr10:uidLastSave="{5AFD7CE4-761D-4D5E-8724-27FE16FB75BD}"/>
  <bookViews>
    <workbookView xWindow="-108" yWindow="-108" windowWidth="23256" windowHeight="12456" activeTab="1" xr2:uid="{00000000-000D-0000-FFFF-FFFF00000000}"/>
  </bookViews>
  <sheets>
    <sheet name="Página inicial" sheetId="1" r:id="rId1"/>
    <sheet name="Processo 1" sheetId="2" r:id="rId2"/>
    <sheet name="Gantt" sheetId="3" r:id="rId3"/>
    <sheet name="Análise de Recursos" sheetId="4" r:id="rId4"/>
    <sheet name="Dashboard" sheetId="5" r:id="rId5"/>
    <sheet name="Automações" sheetId="6" r:id="rId6"/>
    <sheet name="Instruçõ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5" l="1"/>
  <c r="C7" i="5"/>
  <c r="B7" i="5"/>
  <c r="A7" i="5"/>
  <c r="B12" i="5"/>
  <c r="B13" i="5"/>
  <c r="B14" i="5"/>
  <c r="B11" i="5"/>
  <c r="G5" i="4"/>
  <c r="G6" i="4"/>
  <c r="G7" i="4"/>
  <c r="G8" i="4"/>
  <c r="G9" i="4"/>
  <c r="G10" i="4"/>
  <c r="G4" i="4"/>
  <c r="H4" i="2"/>
  <c r="H3" i="2"/>
  <c r="I3" i="1"/>
  <c r="J3" i="1" s="1"/>
  <c r="B20" i="4"/>
  <c r="B19" i="4"/>
  <c r="B18" i="4"/>
  <c r="B17" i="4"/>
  <c r="B16" i="4"/>
  <c r="B15" i="4"/>
  <c r="B14" i="4"/>
  <c r="F10" i="4"/>
  <c r="D10" i="4"/>
  <c r="F9" i="4"/>
  <c r="D9" i="4"/>
  <c r="F8" i="4"/>
  <c r="D8" i="4"/>
  <c r="F7" i="4"/>
  <c r="D7" i="4"/>
  <c r="F6" i="4"/>
  <c r="D6" i="4"/>
  <c r="F5" i="4"/>
  <c r="D5" i="4"/>
  <c r="F4" i="4"/>
  <c r="D4" i="4"/>
  <c r="H7" i="5"/>
  <c r="F4" i="2"/>
  <c r="H3" i="1"/>
  <c r="G3" i="1"/>
  <c r="F7" i="5" s="1"/>
  <c r="E7" i="5" l="1"/>
  <c r="D7" i="5"/>
</calcChain>
</file>

<file path=xl/sharedStrings.xml><?xml version="1.0" encoding="utf-8"?>
<sst xmlns="http://schemas.openxmlformats.org/spreadsheetml/2006/main" count="172" uniqueCount="155">
  <si>
    <t>🚀 GABINETE DE GOVERNANÇA - SISTEMA PRO DE GERENCIAMENTO DE PROCESSOS</t>
  </si>
  <si>
    <t>ID</t>
  </si>
  <si>
    <t>Processo</t>
  </si>
  <si>
    <t>Status</t>
  </si>
  <si>
    <t>Responsável</t>
  </si>
  <si>
    <t>Data Início</t>
  </si>
  <si>
    <t>Data Término</t>
  </si>
  <si>
    <t>% Concluído</t>
  </si>
  <si>
    <t>Tempo Est.</t>
  </si>
  <si>
    <t>Dias Rest.</t>
  </si>
  <si>
    <t>Risco</t>
  </si>
  <si>
    <t>Mapeamento Processos GGOV</t>
  </si>
  <si>
    <t>Luma / Suerlei</t>
  </si>
  <si>
    <t>Em execução</t>
  </si>
  <si>
    <t>Maria Santos</t>
  </si>
  <si>
    <t>Planejada</t>
  </si>
  <si>
    <t>Carlos Pereira</t>
  </si>
  <si>
    <t>Ana Oliveira</t>
  </si>
  <si>
    <t>Concluída</t>
  </si>
  <si>
    <t>Luís Almeida</t>
  </si>
  <si>
    <t>Roberto Silva</t>
  </si>
  <si>
    <t>Projeto
Mapeamento dos processos do Gabinete de Governança</t>
  </si>
  <si>
    <t>Descrição da demanda</t>
  </si>
  <si>
    <t>Realizar o mapeamento completo dos processos administrativos e operacionais do Gabinete de Governança (GGOV), com a finalidade de otimizar o desempenho das atividades e garantir maior transparência, eficiência e controle nos fluxos de trabalho.</t>
  </si>
  <si>
    <t>Status atual</t>
  </si>
  <si>
    <t>Página inicial</t>
  </si>
  <si>
    <t>Número SEI:</t>
  </si>
  <si>
    <t>0000000000000</t>
  </si>
  <si>
    <t>Prioridade:</t>
  </si>
  <si>
    <t>Alta</t>
  </si>
  <si>
    <t>Categoria:</t>
  </si>
  <si>
    <t>Mapeamento</t>
  </si>
  <si>
    <t>Risco:</t>
  </si>
  <si>
    <t>Data Início:</t>
  </si>
  <si>
    <t>Data Término:</t>
  </si>
  <si>
    <t>Duração Total:</t>
  </si>
  <si>
    <t>Dias Restantes:</t>
  </si>
  <si>
    <t>Passos</t>
  </si>
  <si>
    <t>Dt. Início</t>
  </si>
  <si>
    <t>Dt. Término</t>
  </si>
  <si>
    <t>Produtos</t>
  </si>
  <si>
    <t>Dependência</t>
  </si>
  <si>
    <t>% Progresso</t>
  </si>
  <si>
    <t>Horas Est.</t>
  </si>
  <si>
    <t>Horas Real</t>
  </si>
  <si>
    <t>Tarefas</t>
  </si>
  <si>
    <t>Levantamento de Informações</t>
  </si>
  <si>
    <t>Luma Damon</t>
  </si>
  <si>
    <t>Plano do projeto</t>
  </si>
  <si>
    <t>-</t>
  </si>
  <si>
    <t>1. Entrevistas
2. Coleta docs</t>
  </si>
  <si>
    <t>Mapeamento de Processos</t>
  </si>
  <si>
    <t>Suerlei Gondim</t>
  </si>
  <si>
    <t>Relatório Levantamento</t>
  </si>
  <si>
    <t>Passo 1</t>
  </si>
  <si>
    <t>1. Documentar
2. Identificar gargalos</t>
  </si>
  <si>
    <t>📅 GRÁFICO DE GANTT - CRONOGRAMA VISUAL DOS PROCESSOS</t>
  </si>
  <si>
    <t>Início</t>
  </si>
  <si>
    <t>Término</t>
  </si>
  <si>
    <t>Duração</t>
  </si>
  <si>
    <t>% Concl.</t>
  </si>
  <si>
    <t>Dezembro 2025</t>
  </si>
  <si>
    <t>Janeiro 2026</t>
  </si>
  <si>
    <t>Fevereiro 2026</t>
  </si>
  <si>
    <t>Março 2026</t>
  </si>
  <si>
    <t>Mapeamento GGOV</t>
  </si>
  <si>
    <t>Luma/Suerlei</t>
  </si>
  <si>
    <t>Atualização Normativas</t>
  </si>
  <si>
    <t>Implantação GED</t>
  </si>
  <si>
    <t>Auditoria Processos</t>
  </si>
  <si>
    <t>Capacitação Equipe</t>
  </si>
  <si>
    <t>Revisão Compliance</t>
  </si>
  <si>
    <t>Legenda:</t>
  </si>
  <si>
    <t>■ Concluído (100%)</t>
  </si>
  <si>
    <t>■ Em andamento (50-99%)</t>
  </si>
  <si>
    <t>■ Iniciado (0-49%)</t>
  </si>
  <si>
    <t>👥 ANÁLISE DE CARGA E ALOCAÇÃO DE RECURSOS</t>
  </si>
  <si>
    <t>Processos Ativos</t>
  </si>
  <si>
    <t>Horas Alocadas</t>
  </si>
  <si>
    <t>% Capacidade</t>
  </si>
  <si>
    <t>Processos Concluídos</t>
  </si>
  <si>
    <t>Taxa Sucesso</t>
  </si>
  <si>
    <t>Luma Damon de Oliveira Melo</t>
  </si>
  <si>
    <t>Suerlei Gondim Dutra</t>
  </si>
  <si>
    <t>Luma</t>
  </si>
  <si>
    <t>Suerlei</t>
  </si>
  <si>
    <t>Maria</t>
  </si>
  <si>
    <t>Carlos</t>
  </si>
  <si>
    <t>Ana</t>
  </si>
  <si>
    <t>Luís</t>
  </si>
  <si>
    <t>Roberto</t>
  </si>
  <si>
    <t>📊 DASHBOARD EXECUTIVO PRO - VISÃO ESTRATÉGICA COMPLETA</t>
  </si>
  <si>
    <t>📅 Atualizado: 10/12/2025 15:58</t>
  </si>
  <si>
    <t>🎯 KPIs ESTRATÉGICOS</t>
  </si>
  <si>
    <t>📋 Total</t>
  </si>
  <si>
    <t>🚀 Ativos</t>
  </si>
  <si>
    <t>✅ Concluídos</t>
  </si>
  <si>
    <t>⚠️ Risco Alto</t>
  </si>
  <si>
    <t>📈 Taxa Conclusão</t>
  </si>
  <si>
    <t>💯 Saúde Média</t>
  </si>
  <si>
    <t>💰 Orç. Total</t>
  </si>
  <si>
    <t>⏱️ Eficiência</t>
  </si>
  <si>
    <t>Qtd</t>
  </si>
  <si>
    <t>Bloqueada</t>
  </si>
  <si>
    <t>🤖 AUTOMAÇÕES E REGRAS INTELIGENTES</t>
  </si>
  <si>
    <t>⚡ REGRAS AUTOMÁTICAS ATIVAS:</t>
  </si>
  <si>
    <t>1. Cálculo automático de % Conclusão baseado na média dos passos</t>
  </si>
  <si>
    <t>2. Indicador de Risco calculado por dias restantes e prioridade</t>
  </si>
  <si>
    <t>3. Status do processo atualizado conforme andamento dos passos</t>
  </si>
  <si>
    <t>4. Alertas de sobrecarga quando capacidade &gt; 90%</t>
  </si>
  <si>
    <t>5. Dias restantes calculados automaticamente</t>
  </si>
  <si>
    <t>6. Eficiência orçamentária calculada (Real vs Estimado)</t>
  </si>
  <si>
    <t>7. Escala de cores automática por progresso</t>
  </si>
  <si>
    <t>8. Data Bars visuais para % de conclusão</t>
  </si>
  <si>
    <t>🔔 ALERTAS CONFIGURADOS:</t>
  </si>
  <si>
    <t>• 🔴 Processos atrasados (dias restantes &lt; 0)</t>
  </si>
  <si>
    <t>• 🟡 Processos próximos ao prazo (&lt; 5 dias)</t>
  </si>
  <si>
    <t>• ⚠️ Recursos com sobrecarga (&gt; 90% capacidade)</t>
  </si>
  <si>
    <t>• 💰 Orçamento excedido (gasto &gt; estimado)</t>
  </si>
  <si>
    <t>📊 FÓRMULAS DINÂMICAS:</t>
  </si>
  <si>
    <t>• Taxa de Conclusão = Concluídos / Total</t>
  </si>
  <si>
    <t>• Saúde do Processo = Média de % dos passos</t>
  </si>
  <si>
    <t>• Risco = Função(Dias Restantes, Prioridade, % Conclusão)</t>
  </si>
  <si>
    <t>• Capacidade = Horas Alocadas / 160h mensais</t>
  </si>
  <si>
    <t>📖 MANUAL DO USUÁRIO - VERSÃO PRO</t>
  </si>
  <si>
    <t>🚀 SISTEMA PRO - GABINETE DE GOVERNANÇA</t>
  </si>
  <si>
    <t>Versão profissional com recursos avançados de gestão de processos.</t>
  </si>
  <si>
    <t>📊 ABAS DO SISTEMA:</t>
  </si>
  <si>
    <t>1. PÁGINA INICIAL - Visão consolidada de todos os processos</t>
  </si>
  <si>
    <t>2. PROCESSO 1 - Template detalhado (copie para novos processos)</t>
  </si>
  <si>
    <t>3. GANTT - Cronograma visual com barras de progresso</t>
  </si>
  <si>
    <t>4. ANÁLISE DE RECURSOS - Carga de trabalho e alocação</t>
  </si>
  <si>
    <t>5. DASHBOARD - KPIs estratégicos e gráficos</t>
  </si>
  <si>
    <t>6. AUTOMAÇÕES - Regras e alertas inteligentes</t>
  </si>
  <si>
    <t>7. INSTRUÇÕES - Este guia</t>
  </si>
  <si>
    <t>🎯 RECURSOS PRO:</t>
  </si>
  <si>
    <t>✓ Gráfico de Gantt visual com timeline</t>
  </si>
  <si>
    <t>✓ Análise de capacidade e carga de recursos</t>
  </si>
  <si>
    <t>✓ Controle de orçamento (estimado vs real)</t>
  </si>
  <si>
    <t>✓ Gestão de dependências entre passos</t>
  </si>
  <si>
    <t>✓ Cálculo de horas estimadas e reais</t>
  </si>
  <si>
    <t>✓ Data Bars para visualização rápida</t>
  </si>
  <si>
    <t>✓ Alertas automáticos de sobrecarga</t>
  </si>
  <si>
    <t>✓ Métricas de eficiência orçamentária</t>
  </si>
  <si>
    <t>✓ Dashboard executivo completo</t>
  </si>
  <si>
    <t>🎨 CÓDIGO DE CORES:</t>
  </si>
  <si>
    <t>Status: 🟢 Concluída | 🟡 Em execução | 🔵 Planejada | 🔴 Bloqueada</t>
  </si>
  <si>
    <t>Risco: 🟢 Baixo | 🟡 Médio | 🔴 Alto</t>
  </si>
  <si>
    <t>Capacidade: 🟢 Normal | 🟡 Alta | 🔴 Sobrecarga</t>
  </si>
  <si>
    <t>💡 DICAS DE USO:</t>
  </si>
  <si>
    <t>1. Mantenha status e % atualizados regularmente</t>
  </si>
  <si>
    <t>2. Use o Gantt para visualizar sobreposições</t>
  </si>
  <si>
    <t>3. Monitore Análise de Recursos para evitar sobrecarga</t>
  </si>
  <si>
    <t>4. Configure dependências para sequenciar tarefas</t>
  </si>
  <si>
    <t>5. Compare orçamento estimado vs real constantemente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</si>
</sst>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.00"/>
    <numFmt numFmtId="165" formatCode="dd/mm"/>
    <numFmt numFmtId="166" formatCode="\R\$\ #,##0"/>
  </numFmts>
  <fonts count="2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6"/>
      <color rgb="FFFFFFFF"/>
      <name val="Calibri"/>
    </font>
    <font>
      <b/>
      <sz val="11"/>
      <color rgb="FF00B050"/>
      <name val="Calibri"/>
    </font>
    <font>
      <b/>
      <sz val="11"/>
      <color rgb="FFFFC000"/>
      <name val="Calibri"/>
    </font>
    <font>
      <b/>
      <sz val="11"/>
      <color rgb="FF4472C4"/>
      <name val="Calibri"/>
    </font>
    <font>
      <b/>
      <sz val="18"/>
      <color rgb="FFFFFFFF"/>
      <name val="Calibri"/>
    </font>
    <font>
      <i/>
      <sz val="10"/>
      <name val="Calibri"/>
    </font>
    <font>
      <b/>
      <sz val="14"/>
      <color rgb="FF1F4E78"/>
      <name val="Calibri"/>
    </font>
    <font>
      <b/>
      <sz val="9"/>
      <color rgb="FFFFFFFF"/>
      <name val="Calibri"/>
    </font>
    <font>
      <b/>
      <sz val="14"/>
      <color rgb="FF4472D4"/>
      <name val="Calibri"/>
    </font>
    <font>
      <b/>
      <sz val="14"/>
      <color rgb="FFFFA500"/>
      <name val="Calibri"/>
    </font>
    <font>
      <b/>
      <sz val="14"/>
      <color rgb="FF00B050"/>
      <name val="Calibri"/>
    </font>
    <font>
      <b/>
      <sz val="14"/>
      <color rgb="FFC00000"/>
      <name val="Calibri"/>
    </font>
    <font>
      <b/>
      <sz val="14"/>
      <color rgb="FF00B0F0"/>
      <name val="Calibri"/>
    </font>
    <font>
      <b/>
      <sz val="14"/>
      <color rgb="FF92D050"/>
      <name val="Calibri"/>
    </font>
    <font>
      <b/>
      <sz val="14"/>
      <color rgb="FF7030A0"/>
      <name val="Calibri"/>
    </font>
    <font>
      <b/>
      <sz val="12"/>
      <color rgb="FF1F4E78"/>
      <name val="Calibri"/>
    </font>
    <font>
      <sz val="10"/>
      <name val="Calibri"/>
    </font>
    <font>
      <u/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66092"/>
        <bgColor rgb="FF366092"/>
      </patternFill>
    </fill>
    <fill>
      <patternFill patternType="solid">
        <fgColor rgb="FFB6D7A8"/>
        <bgColor rgb="FFB6D7A8"/>
      </patternFill>
    </fill>
    <fill>
      <patternFill patternType="solid">
        <fgColor rgb="FFFFA500"/>
        <bgColor rgb="FFFFA500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00B050"/>
        <bgColor rgb="FF00B050"/>
      </patternFill>
    </fill>
    <fill>
      <patternFill patternType="solid">
        <fgColor rgb="FF4472D4"/>
        <bgColor rgb="FF4472D4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6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9" fontId="0" fillId="0" borderId="0" xfId="0" applyNumberFormat="1"/>
    <xf numFmtId="0" fontId="4" fillId="0" borderId="1" xfId="0" applyFont="1" applyBorder="1"/>
    <xf numFmtId="0" fontId="0" fillId="0" borderId="1" xfId="0" applyBorder="1"/>
    <xf numFmtId="0" fontId="5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14" fontId="0" fillId="0" borderId="1" xfId="0" applyNumberFormat="1" applyBorder="1"/>
    <xf numFmtId="9" fontId="0" fillId="0" borderId="1" xfId="0" applyNumberFormat="1" applyBorder="1"/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65" fontId="0" fillId="0" borderId="0" xfId="0" applyNumberFormat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9" fontId="0" fillId="12" borderId="1" xfId="0" applyNumberFormat="1" applyFill="1" applyBorder="1"/>
    <xf numFmtId="0" fontId="4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9" fontId="20" fillId="14" borderId="1" xfId="0" applyNumberFormat="1" applyFont="1" applyFill="1" applyBorder="1" applyAlignment="1">
      <alignment horizontal="center" vertical="center"/>
    </xf>
    <xf numFmtId="166" fontId="21" fillId="14" borderId="1" xfId="0" applyNumberFormat="1" applyFont="1" applyFill="1" applyBorder="1" applyAlignment="1">
      <alignment horizontal="center" vertical="center"/>
    </xf>
    <xf numFmtId="9" fontId="17" fillId="14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24" fillId="0" borderId="0" xfId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23" fillId="0" borderId="0" xfId="0" applyFont="1" applyAlignment="1">
      <alignment horizontal="left" indent="2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22" fillId="0" borderId="0" xfId="0" applyFont="1"/>
    <xf numFmtId="0" fontId="3" fillId="0" borderId="0" xfId="0" applyFont="1"/>
  </cellXfs>
  <cellStyles count="2">
    <cellStyle name="Hiperlink" xfId="1" builtinId="8"/>
    <cellStyle name="Normal" xfId="0" builtinId="0"/>
  </cellStyles>
  <dxfs count="3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Carga de Trabalho por Responsável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1336254107338443E-2"/>
          <c:y val="5.50098231827112E-2"/>
          <c:w val="0.86683811570271141"/>
          <c:h val="0.9240340537000655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'Análise de Recursos'!$B$13</c:f>
              <c:strCache>
                <c:ptCount val="1"/>
                <c:pt idx="0">
                  <c:v>% Capacidade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'Análise de Recursos'!$A$14:$A$20</c:f>
              <c:strCache>
                <c:ptCount val="7"/>
                <c:pt idx="0">
                  <c:v>Luma</c:v>
                </c:pt>
                <c:pt idx="1">
                  <c:v>Suerlei</c:v>
                </c:pt>
                <c:pt idx="2">
                  <c:v>Maria</c:v>
                </c:pt>
                <c:pt idx="3">
                  <c:v>Carlos</c:v>
                </c:pt>
                <c:pt idx="4">
                  <c:v>Ana</c:v>
                </c:pt>
                <c:pt idx="5">
                  <c:v>Luís</c:v>
                </c:pt>
                <c:pt idx="6">
                  <c:v>Roberto</c:v>
                </c:pt>
              </c:strCache>
            </c:strRef>
          </c:cat>
          <c:val>
            <c:numRef>
              <c:f>'Análise de Recursos'!$B$14:$B$20</c:f>
              <c:numCache>
                <c:formatCode>General</c:formatCode>
                <c:ptCount val="7"/>
                <c:pt idx="0">
                  <c:v>0.85</c:v>
                </c:pt>
                <c:pt idx="1">
                  <c:v>0.45</c:v>
                </c:pt>
                <c:pt idx="2">
                  <c:v>0.5</c:v>
                </c:pt>
                <c:pt idx="3">
                  <c:v>0.75</c:v>
                </c:pt>
                <c:pt idx="4">
                  <c:v>0.375</c:v>
                </c:pt>
                <c:pt idx="5">
                  <c:v>0</c:v>
                </c:pt>
                <c:pt idx="6">
                  <c:v>0.5625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D-4E83-849D-B3CB90742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% Capacidade</a:t>
                </a:r>
              </a:p>
            </c:rich>
          </c:tx>
          <c:layout>
            <c:manualLayout>
              <c:xMode val="edge"/>
              <c:yMode val="edge"/>
              <c:x val="3.0668127053669222E-2"/>
              <c:y val="0.4012179715256614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Responsável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269372982265498"/>
          <c:y val="0.33421035533623128"/>
          <c:w val="7.3062701773450284E-2"/>
          <c:h val="0.33157928932753739"/>
        </c:manualLayout>
      </c:layout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Status dos Processos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77538641003208"/>
          <c:y val="0"/>
          <c:w val="0.63098408995171895"/>
          <c:h val="1"/>
        </c:manualLayout>
      </c:layout>
      <c:doughnutChart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Qtd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Dashboard!$A$11:$A$14</c:f>
              <c:strCache>
                <c:ptCount val="4"/>
                <c:pt idx="0">
                  <c:v>Em execução</c:v>
                </c:pt>
                <c:pt idx="1">
                  <c:v>Concluída</c:v>
                </c:pt>
                <c:pt idx="2">
                  <c:v>Planejada</c:v>
                </c:pt>
                <c:pt idx="3">
                  <c:v>Bloqueada</c:v>
                </c:pt>
              </c:strCache>
            </c:strRef>
          </c:cat>
          <c:val>
            <c:numRef>
              <c:f>Dashboard!$B$11:$B$14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9-4D3D-95C0-C8F042767D1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582930</xdr:colOff>
      <xdr:row>11</xdr:row>
      <xdr:rowOff>175259</xdr:rowOff>
    </xdr:from>
    <xdr:ext cx="9256395" cy="48482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15</xdr:row>
      <xdr:rowOff>57150</xdr:rowOff>
    </xdr:from>
    <xdr:ext cx="771525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workbookViewId="0">
      <selection activeCell="C3" sqref="C3"/>
    </sheetView>
  </sheetViews>
  <sheetFormatPr defaultRowHeight="14.4" x14ac:dyDescent="0.3"/>
  <cols>
    <col min="1" max="1" width="6" customWidth="1"/>
    <col min="2" max="2" width="32" customWidth="1"/>
    <col min="3" max="3" width="14" customWidth="1"/>
    <col min="4" max="4" width="22" customWidth="1"/>
    <col min="5" max="6" width="13" customWidth="1"/>
    <col min="7" max="8" width="11" customWidth="1"/>
    <col min="9" max="9" width="10.5546875" style="42" bestFit="1" customWidth="1"/>
    <col min="10" max="10" width="13" customWidth="1"/>
  </cols>
  <sheetData>
    <row r="1" spans="1:10" ht="28.05" customHeight="1" x14ac:dyDescent="0.3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3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41" t="s">
        <v>9</v>
      </c>
      <c r="J2" s="1" t="s">
        <v>10</v>
      </c>
    </row>
    <row r="3" spans="1:10" x14ac:dyDescent="0.3">
      <c r="A3" s="2">
        <v>1</v>
      </c>
      <c r="B3" s="45" t="s">
        <v>11</v>
      </c>
      <c r="C3" s="2" t="s">
        <v>13</v>
      </c>
      <c r="D3" s="2" t="s">
        <v>12</v>
      </c>
      <c r="E3" s="3">
        <v>46001</v>
      </c>
      <c r="F3" s="3">
        <v>46053</v>
      </c>
      <c r="G3" s="4" t="e">
        <f>'Processo 1'!#REF!</f>
        <v>#REF!</v>
      </c>
      <c r="H3" s="2">
        <f t="shared" ref="H3" si="0">F3-E3</f>
        <v>52</v>
      </c>
      <c r="I3" s="43">
        <f ca="1">F3-TODAY()</f>
        <v>52</v>
      </c>
      <c r="J3" s="2" t="str">
        <f ca="1">IF(I3&lt;0,"🔴 Alto",IF(I3&lt;5,"🟡 Médio","🟢 Baixo"))</f>
        <v>🟢 Baixo</v>
      </c>
    </row>
    <row r="4" spans="1:10" x14ac:dyDescent="0.3">
      <c r="A4" s="2">
        <v>2</v>
      </c>
      <c r="B4" s="2"/>
      <c r="C4" s="2"/>
      <c r="D4" s="2"/>
      <c r="E4" s="3"/>
      <c r="F4" s="3"/>
      <c r="G4" s="4"/>
      <c r="H4" s="2"/>
      <c r="I4" s="43"/>
      <c r="J4" s="2"/>
    </row>
    <row r="5" spans="1:10" x14ac:dyDescent="0.3">
      <c r="A5" s="2">
        <v>3</v>
      </c>
      <c r="B5" s="2"/>
      <c r="C5" s="2"/>
      <c r="D5" s="2"/>
      <c r="E5" s="3"/>
      <c r="F5" s="3"/>
      <c r="G5" s="4"/>
      <c r="H5" s="2"/>
      <c r="I5" s="43"/>
      <c r="J5" s="2"/>
    </row>
    <row r="6" spans="1:10" x14ac:dyDescent="0.3">
      <c r="A6" s="2">
        <v>4</v>
      </c>
      <c r="B6" s="2"/>
      <c r="C6" s="2"/>
      <c r="D6" s="2"/>
      <c r="E6" s="3"/>
      <c r="F6" s="3"/>
      <c r="G6" s="4"/>
      <c r="H6" s="2"/>
      <c r="I6" s="43"/>
      <c r="J6" s="2"/>
    </row>
    <row r="7" spans="1:10" x14ac:dyDescent="0.3">
      <c r="A7" s="2">
        <v>5</v>
      </c>
      <c r="B7" s="2"/>
      <c r="C7" s="2"/>
      <c r="D7" s="2"/>
      <c r="E7" s="3"/>
      <c r="F7" s="3"/>
      <c r="G7" s="4"/>
      <c r="H7" s="2"/>
      <c r="I7" s="43"/>
      <c r="J7" s="2"/>
    </row>
    <row r="8" spans="1:10" x14ac:dyDescent="0.3">
      <c r="A8" s="2">
        <v>6</v>
      </c>
      <c r="B8" s="2"/>
      <c r="C8" s="2"/>
      <c r="D8" s="2"/>
      <c r="E8" s="3"/>
      <c r="F8" s="3"/>
      <c r="G8" s="4"/>
      <c r="H8" s="2"/>
      <c r="I8" s="43"/>
      <c r="J8" s="2"/>
    </row>
  </sheetData>
  <mergeCells count="1">
    <mergeCell ref="A1:J1"/>
  </mergeCells>
  <conditionalFormatting sqref="C3:C100">
    <cfRule type="cellIs" dxfId="2" priority="1" operator="equal">
      <formula>"Concluída"</formula>
    </cfRule>
    <cfRule type="cellIs" dxfId="1" priority="2" operator="equal">
      <formula>"Em execução"</formula>
    </cfRule>
    <cfRule type="cellIs" dxfId="0" priority="3" operator="equal">
      <formula>"Bloqueada"</formula>
    </cfRule>
  </conditionalFormatting>
  <conditionalFormatting sqref="G3:G100">
    <cfRule type="dataBar" priority="4">
      <dataBar>
        <cfvo type="num" val="0"/>
        <cfvo type="num" val="1"/>
        <color rgb="FF63BE7B"/>
      </dataBar>
    </cfRule>
  </conditionalFormatting>
  <conditionalFormatting sqref="I3:I100">
    <cfRule type="colorScale" priority="5">
      <colorScale>
        <cfvo type="num" val="-10"/>
        <cfvo type="num" val="0"/>
        <cfvo type="num" val="20"/>
        <color rgb="FFF8696B"/>
        <color rgb="FFFFEB84"/>
        <color rgb="FF63BE7B"/>
      </colorScale>
    </cfRule>
  </conditionalFormatting>
  <dataValidations count="1">
    <dataValidation type="list" sqref="C3:C100" xr:uid="{00000000-0002-0000-0000-000000000000}">
      <formula1>"Planejada,Em execução,Concluída,Cancelada,Bloqueada"</formula1>
    </dataValidation>
  </dataValidations>
  <hyperlinks>
    <hyperlink ref="B3" location="'Processo 1'!A1" display="Mapeamento Processos GGOV" xr:uid="{0C683810-E849-44A7-AE10-0F7120D222F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abSelected="1" workbookViewId="0">
      <selection activeCell="D11" sqref="D11"/>
    </sheetView>
  </sheetViews>
  <sheetFormatPr defaultRowHeight="14.4" x14ac:dyDescent="0.3"/>
  <cols>
    <col min="1" max="1" width="28" customWidth="1"/>
    <col min="2" max="2" width="14.109375" bestFit="1" customWidth="1"/>
    <col min="3" max="3" width="20" customWidth="1"/>
    <col min="4" max="4" width="12" customWidth="1"/>
    <col min="5" max="5" width="13.33203125" bestFit="1" customWidth="1"/>
    <col min="6" max="6" width="27.5546875" customWidth="1"/>
    <col min="7" max="7" width="12" customWidth="1"/>
    <col min="8" max="8" width="11" customWidth="1"/>
    <col min="9" max="9" width="11.109375" bestFit="1" customWidth="1"/>
    <col min="10" max="10" width="12.21875" bestFit="1" customWidth="1"/>
    <col min="11" max="11" width="32" customWidth="1"/>
  </cols>
  <sheetData>
    <row r="1" spans="1:11" ht="34.950000000000003" customHeight="1" x14ac:dyDescent="0.3">
      <c r="A1" s="48" t="s">
        <v>21</v>
      </c>
      <c r="B1" s="51" t="s">
        <v>22</v>
      </c>
      <c r="C1" s="50" t="s">
        <v>23</v>
      </c>
      <c r="D1" s="47"/>
      <c r="E1" s="47"/>
      <c r="F1" s="47"/>
      <c r="G1" s="47"/>
      <c r="H1" s="47"/>
      <c r="I1" s="52" t="s">
        <v>24</v>
      </c>
      <c r="J1" s="53" t="s">
        <v>25</v>
      </c>
    </row>
    <row r="2" spans="1:11" ht="34.950000000000003" customHeight="1" x14ac:dyDescent="0.3">
      <c r="A2" s="49"/>
      <c r="B2" s="47"/>
      <c r="C2" s="47"/>
      <c r="D2" s="47"/>
      <c r="E2" s="47"/>
      <c r="F2" s="47"/>
      <c r="G2" s="47"/>
      <c r="H2" s="47"/>
      <c r="I2" s="47"/>
      <c r="J2" s="47"/>
    </row>
    <row r="3" spans="1:11" x14ac:dyDescent="0.3">
      <c r="A3" s="7" t="s">
        <v>26</v>
      </c>
      <c r="B3" s="8" t="s">
        <v>27</v>
      </c>
      <c r="C3" s="7" t="s">
        <v>28</v>
      </c>
      <c r="D3" s="9" t="s">
        <v>29</v>
      </c>
      <c r="E3" s="7" t="s">
        <v>30</v>
      </c>
      <c r="F3" s="8" t="s">
        <v>31</v>
      </c>
      <c r="G3" s="7" t="s">
        <v>32</v>
      </c>
      <c r="H3" s="10" t="str">
        <f>IF(COUNTIF(B8:B13,"Não iniciada")&gt;3,"🔴 Alto",IF(AVERAGE(H8:H13)&lt;0.5,"🟡 Médio","🟢 Baixo"))</f>
        <v>🟢 Baixo</v>
      </c>
      <c r="I3" s="7"/>
      <c r="J3" s="11"/>
    </row>
    <row r="4" spans="1:11" x14ac:dyDescent="0.3">
      <c r="A4" s="7" t="s">
        <v>33</v>
      </c>
      <c r="B4" s="12">
        <v>46001</v>
      </c>
      <c r="C4" s="7" t="s">
        <v>34</v>
      </c>
      <c r="D4" s="12">
        <v>46053</v>
      </c>
      <c r="E4" s="7" t="s">
        <v>35</v>
      </c>
      <c r="F4" s="10">
        <f>D4-B4</f>
        <v>52</v>
      </c>
      <c r="G4" s="7" t="s">
        <v>36</v>
      </c>
      <c r="H4" s="44">
        <f ca="1">D4-TODAY()</f>
        <v>52</v>
      </c>
      <c r="I4" s="7"/>
      <c r="J4" s="13"/>
    </row>
    <row r="7" spans="1:11" ht="30" customHeight="1" x14ac:dyDescent="0.3">
      <c r="A7" s="14" t="s">
        <v>37</v>
      </c>
      <c r="B7" s="14" t="s">
        <v>3</v>
      </c>
      <c r="C7" s="14" t="s">
        <v>4</v>
      </c>
      <c r="D7" s="14" t="s">
        <v>38</v>
      </c>
      <c r="E7" s="14" t="s">
        <v>39</v>
      </c>
      <c r="F7" s="14" t="s">
        <v>40</v>
      </c>
      <c r="G7" s="14" t="s">
        <v>41</v>
      </c>
      <c r="H7" s="14" t="s">
        <v>42</v>
      </c>
      <c r="I7" s="14" t="s">
        <v>43</v>
      </c>
      <c r="J7" s="14" t="s">
        <v>44</v>
      </c>
      <c r="K7" s="14" t="s">
        <v>45</v>
      </c>
    </row>
    <row r="8" spans="1:11" ht="34.950000000000003" customHeight="1" x14ac:dyDescent="0.3">
      <c r="A8" s="5" t="s">
        <v>46</v>
      </c>
      <c r="B8" s="5" t="s">
        <v>13</v>
      </c>
      <c r="C8" s="5" t="s">
        <v>47</v>
      </c>
      <c r="D8" s="3">
        <v>46001</v>
      </c>
      <c r="E8" s="3">
        <v>46038</v>
      </c>
      <c r="F8" s="5" t="s">
        <v>48</v>
      </c>
      <c r="G8" s="5" t="s">
        <v>49</v>
      </c>
      <c r="H8" s="4">
        <v>0.7</v>
      </c>
      <c r="I8" s="2">
        <v>80</v>
      </c>
      <c r="J8" s="2">
        <v>56</v>
      </c>
      <c r="K8" s="5" t="s">
        <v>50</v>
      </c>
    </row>
    <row r="9" spans="1:11" ht="34.950000000000003" customHeight="1" x14ac:dyDescent="0.3">
      <c r="A9" s="5" t="s">
        <v>51</v>
      </c>
      <c r="B9" s="5" t="s">
        <v>13</v>
      </c>
      <c r="C9" s="5" t="s">
        <v>52</v>
      </c>
      <c r="D9" s="3">
        <v>46001</v>
      </c>
      <c r="E9" s="3">
        <v>46053</v>
      </c>
      <c r="F9" s="5" t="s">
        <v>53</v>
      </c>
      <c r="G9" s="5" t="s">
        <v>54</v>
      </c>
      <c r="H9" s="4">
        <v>0.6</v>
      </c>
      <c r="I9" s="2">
        <v>120</v>
      </c>
      <c r="J9" s="2">
        <v>72</v>
      </c>
      <c r="K9" s="5" t="s">
        <v>55</v>
      </c>
    </row>
    <row r="10" spans="1:11" ht="34.950000000000003" customHeight="1" x14ac:dyDescent="0.3">
      <c r="A10" s="5"/>
      <c r="B10" s="5"/>
      <c r="C10" s="5"/>
      <c r="D10" s="3"/>
      <c r="E10" s="3"/>
      <c r="F10" s="5"/>
      <c r="G10" s="5"/>
      <c r="H10" s="4"/>
      <c r="I10" s="2"/>
      <c r="J10" s="2"/>
      <c r="K10" s="5"/>
    </row>
    <row r="11" spans="1:11" ht="34.950000000000003" customHeight="1" x14ac:dyDescent="0.3">
      <c r="A11" s="5"/>
      <c r="B11" s="5"/>
      <c r="C11" s="5"/>
      <c r="D11" s="3"/>
      <c r="E11" s="3"/>
      <c r="F11" s="5"/>
      <c r="G11" s="5"/>
      <c r="H11" s="4"/>
      <c r="I11" s="2"/>
      <c r="J11" s="2"/>
      <c r="K11" s="5"/>
    </row>
    <row r="12" spans="1:11" ht="34.950000000000003" customHeight="1" x14ac:dyDescent="0.3">
      <c r="A12" s="5"/>
      <c r="B12" s="5"/>
      <c r="C12" s="5"/>
      <c r="D12" s="3"/>
      <c r="E12" s="3"/>
      <c r="F12" s="5"/>
      <c r="G12" s="5"/>
      <c r="H12" s="4"/>
      <c r="I12" s="2"/>
      <c r="J12" s="2"/>
      <c r="K12" s="5"/>
    </row>
    <row r="13" spans="1:11" ht="34.950000000000003" customHeight="1" x14ac:dyDescent="0.3">
      <c r="A13" s="5"/>
      <c r="B13" s="5"/>
      <c r="C13" s="5"/>
      <c r="D13" s="3"/>
      <c r="E13" s="3"/>
      <c r="F13" s="5"/>
      <c r="G13" s="5"/>
      <c r="H13" s="4"/>
      <c r="I13" s="2"/>
      <c r="J13" s="2"/>
      <c r="K13" s="5"/>
    </row>
  </sheetData>
  <mergeCells count="5">
    <mergeCell ref="A1:A2"/>
    <mergeCell ref="C1:H2"/>
    <mergeCell ref="B1:B2"/>
    <mergeCell ref="I1:I2"/>
    <mergeCell ref="J1:J2"/>
  </mergeCells>
  <conditionalFormatting sqref="H8:H20">
    <cfRule type="dataBar" priority="1">
      <dataBar>
        <cfvo type="num" val="0"/>
        <cfvo type="num" val="1"/>
        <color rgb="FF4472C4"/>
      </dataBar>
    </cfRule>
  </conditionalFormatting>
  <dataValidations count="1">
    <dataValidation type="list" sqref="B8:B20" xr:uid="{00000000-0002-0000-0100-000000000000}">
      <formula1>"Não iniciada,Em execução,Concluída,Bloqueada"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2"/>
  <sheetViews>
    <sheetView workbookViewId="0">
      <selection activeCell="L4" sqref="L4"/>
    </sheetView>
  </sheetViews>
  <sheetFormatPr defaultRowHeight="14.4" x14ac:dyDescent="0.3"/>
  <cols>
    <col min="1" max="1" width="25" customWidth="1"/>
    <col min="2" max="2" width="18" customWidth="1"/>
    <col min="3" max="4" width="12" customWidth="1"/>
    <col min="5" max="6" width="10" customWidth="1"/>
    <col min="7" max="21" width="4" customWidth="1"/>
  </cols>
  <sheetData>
    <row r="1" spans="1:26" ht="30" customHeight="1" x14ac:dyDescent="0.3">
      <c r="A1" s="55" t="s">
        <v>56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3" spans="1:26" x14ac:dyDescent="0.3">
      <c r="A3" s="15" t="s">
        <v>2</v>
      </c>
      <c r="B3" s="15" t="s">
        <v>4</v>
      </c>
      <c r="C3" s="15" t="s">
        <v>57</v>
      </c>
      <c r="D3" s="15" t="s">
        <v>58</v>
      </c>
      <c r="E3" s="15" t="s">
        <v>59</v>
      </c>
      <c r="F3" s="15" t="s">
        <v>60</v>
      </c>
      <c r="G3" s="54" t="s">
        <v>61</v>
      </c>
      <c r="H3" s="47"/>
      <c r="I3" s="47"/>
      <c r="J3" s="47"/>
      <c r="K3" s="56" t="s">
        <v>62</v>
      </c>
      <c r="L3" s="47"/>
      <c r="M3" s="47"/>
      <c r="N3" s="57" t="s">
        <v>63</v>
      </c>
      <c r="O3" s="47"/>
      <c r="P3" s="47"/>
      <c r="Q3" s="58" t="s">
        <v>64</v>
      </c>
      <c r="R3" s="47"/>
      <c r="S3" s="47"/>
    </row>
    <row r="4" spans="1:26" x14ac:dyDescent="0.3">
      <c r="A4" t="s">
        <v>65</v>
      </c>
      <c r="B4" t="s">
        <v>66</v>
      </c>
      <c r="C4" s="16">
        <v>46001</v>
      </c>
      <c r="D4" s="16">
        <v>46053</v>
      </c>
      <c r="E4">
        <v>52</v>
      </c>
      <c r="F4" s="6">
        <v>0.65</v>
      </c>
      <c r="G4" s="17"/>
      <c r="H4" s="17"/>
      <c r="I4" s="17"/>
      <c r="J4" s="17"/>
      <c r="K4" s="17"/>
      <c r="L4" s="17"/>
    </row>
    <row r="5" spans="1:26" x14ac:dyDescent="0.3">
      <c r="A5" t="s">
        <v>67</v>
      </c>
      <c r="B5" t="s">
        <v>14</v>
      </c>
      <c r="C5" s="16">
        <v>45996</v>
      </c>
      <c r="D5" s="16">
        <v>46011</v>
      </c>
      <c r="E5">
        <v>15</v>
      </c>
      <c r="F5" s="6">
        <v>0.65</v>
      </c>
      <c r="G5" s="17"/>
      <c r="H5" s="17"/>
    </row>
    <row r="6" spans="1:26" x14ac:dyDescent="0.3">
      <c r="A6" t="s">
        <v>68</v>
      </c>
      <c r="B6" t="s">
        <v>16</v>
      </c>
      <c r="C6" s="16">
        <v>46006</v>
      </c>
      <c r="D6" s="16">
        <v>46068</v>
      </c>
      <c r="E6">
        <v>62</v>
      </c>
      <c r="F6" s="6">
        <v>0.15</v>
      </c>
      <c r="H6" s="18"/>
      <c r="I6" s="18"/>
      <c r="J6" s="18"/>
      <c r="K6" s="18"/>
      <c r="L6" s="18"/>
      <c r="M6" s="18"/>
      <c r="N6" s="18"/>
    </row>
    <row r="7" spans="1:26" x14ac:dyDescent="0.3">
      <c r="A7" t="s">
        <v>69</v>
      </c>
      <c r="B7" t="s">
        <v>17</v>
      </c>
      <c r="C7" s="16">
        <v>45992</v>
      </c>
      <c r="D7" s="16">
        <v>46009</v>
      </c>
      <c r="E7">
        <v>17</v>
      </c>
      <c r="F7" s="6">
        <v>0.8</v>
      </c>
      <c r="G7" s="17"/>
      <c r="H7" s="17"/>
    </row>
    <row r="8" spans="1:26" x14ac:dyDescent="0.3">
      <c r="A8" t="s">
        <v>70</v>
      </c>
      <c r="B8" t="s">
        <v>19</v>
      </c>
      <c r="C8" s="16">
        <v>45981</v>
      </c>
      <c r="D8" s="16">
        <v>45996</v>
      </c>
      <c r="E8" s="19">
        <v>15</v>
      </c>
      <c r="F8" s="20">
        <v>1</v>
      </c>
    </row>
    <row r="9" spans="1:26" x14ac:dyDescent="0.3">
      <c r="A9" t="s">
        <v>71</v>
      </c>
      <c r="B9" t="s">
        <v>20</v>
      </c>
      <c r="C9" s="16">
        <v>45999</v>
      </c>
      <c r="D9" s="16">
        <v>46019</v>
      </c>
      <c r="E9">
        <v>20</v>
      </c>
      <c r="F9" s="6">
        <v>0.4</v>
      </c>
      <c r="G9" s="18"/>
      <c r="H9" s="18"/>
      <c r="I9" s="18"/>
    </row>
    <row r="12" spans="1:26" x14ac:dyDescent="0.3">
      <c r="A12" s="21" t="s">
        <v>72</v>
      </c>
      <c r="B12" s="22" t="s">
        <v>73</v>
      </c>
      <c r="C12" s="23" t="s">
        <v>74</v>
      </c>
      <c r="D12" s="24" t="s">
        <v>75</v>
      </c>
    </row>
  </sheetData>
  <mergeCells count="5">
    <mergeCell ref="G3:J3"/>
    <mergeCell ref="A1:Z1"/>
    <mergeCell ref="K3:M3"/>
    <mergeCell ref="N3:P3"/>
    <mergeCell ref="Q3:S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topLeftCell="A7" workbookViewId="0">
      <selection activeCell="L26" sqref="L26"/>
    </sheetView>
  </sheetViews>
  <sheetFormatPr defaultRowHeight="14.4" x14ac:dyDescent="0.3"/>
  <cols>
    <col min="1" max="7" width="22" customWidth="1"/>
  </cols>
  <sheetData>
    <row r="1" spans="1:7" ht="28.05" customHeight="1" x14ac:dyDescent="0.3">
      <c r="A1" s="55" t="s">
        <v>76</v>
      </c>
      <c r="B1" s="47"/>
      <c r="C1" s="47"/>
      <c r="D1" s="47"/>
      <c r="E1" s="47"/>
      <c r="F1" s="47"/>
      <c r="G1" s="47"/>
    </row>
    <row r="3" spans="1:7" ht="30" customHeight="1" x14ac:dyDescent="0.3">
      <c r="A3" s="25" t="s">
        <v>4</v>
      </c>
      <c r="B3" s="25" t="s">
        <v>77</v>
      </c>
      <c r="C3" s="25" t="s">
        <v>78</v>
      </c>
      <c r="D3" s="25" t="s">
        <v>79</v>
      </c>
      <c r="E3" s="25" t="s">
        <v>80</v>
      </c>
      <c r="F3" s="25" t="s">
        <v>81</v>
      </c>
      <c r="G3" s="25" t="s">
        <v>3</v>
      </c>
    </row>
    <row r="4" spans="1:7" x14ac:dyDescent="0.3">
      <c r="A4" s="2" t="s">
        <v>82</v>
      </c>
      <c r="B4" s="2">
        <v>2</v>
      </c>
      <c r="C4" s="2">
        <v>136</v>
      </c>
      <c r="D4" s="4">
        <f t="shared" ref="D4:D10" si="0">C4/160</f>
        <v>0.85</v>
      </c>
      <c r="E4" s="2">
        <v>0</v>
      </c>
      <c r="F4" s="4">
        <f>E4/(B4+E4)</f>
        <v>0</v>
      </c>
      <c r="G4" s="2" t="str">
        <f>IF(D4&gt;0.9,"🔴 Sobrecarga",IF(D4&gt;0.7,"🟡 Alta","🟢 Normal"))</f>
        <v>🟡 Alta</v>
      </c>
    </row>
    <row r="5" spans="1:7" x14ac:dyDescent="0.3">
      <c r="A5" s="2" t="s">
        <v>83</v>
      </c>
      <c r="B5" s="2">
        <v>1</v>
      </c>
      <c r="C5" s="2">
        <v>72</v>
      </c>
      <c r="D5" s="4">
        <f t="shared" si="0"/>
        <v>0.45</v>
      </c>
      <c r="E5" s="2">
        <v>0</v>
      </c>
      <c r="F5" s="4">
        <f>E5/(B5+E5)</f>
        <v>0</v>
      </c>
      <c r="G5" s="2" t="str">
        <f t="shared" ref="G5:G10" si="1">IF(D5&gt;0.9,"🔴 Sobrecarga",IF(D5&gt;0.7,"🟡 Alta","🟢 Normal"))</f>
        <v>🟢 Normal</v>
      </c>
    </row>
    <row r="6" spans="1:7" x14ac:dyDescent="0.3">
      <c r="A6" s="2" t="s">
        <v>14</v>
      </c>
      <c r="B6" s="2">
        <v>1</v>
      </c>
      <c r="C6" s="2">
        <v>80</v>
      </c>
      <c r="D6" s="4">
        <f t="shared" si="0"/>
        <v>0.5</v>
      </c>
      <c r="E6" s="2">
        <v>1</v>
      </c>
      <c r="F6" s="4">
        <f>E6/(B6+E6)</f>
        <v>0.5</v>
      </c>
      <c r="G6" s="2" t="str">
        <f t="shared" si="1"/>
        <v>🟢 Normal</v>
      </c>
    </row>
    <row r="7" spans="1:7" x14ac:dyDescent="0.3">
      <c r="A7" s="2" t="s">
        <v>16</v>
      </c>
      <c r="B7" s="2">
        <v>1</v>
      </c>
      <c r="C7" s="2">
        <v>120</v>
      </c>
      <c r="D7" s="4">
        <f t="shared" si="0"/>
        <v>0.75</v>
      </c>
      <c r="E7" s="2">
        <v>0</v>
      </c>
      <c r="F7" s="4">
        <f>E7/(B7+E7)</f>
        <v>0</v>
      </c>
      <c r="G7" s="2" t="str">
        <f t="shared" si="1"/>
        <v>🟡 Alta</v>
      </c>
    </row>
    <row r="8" spans="1:7" x14ac:dyDescent="0.3">
      <c r="A8" s="2" t="s">
        <v>17</v>
      </c>
      <c r="B8" s="2">
        <v>1</v>
      </c>
      <c r="C8" s="2">
        <v>60</v>
      </c>
      <c r="D8" s="4">
        <f t="shared" si="0"/>
        <v>0.375</v>
      </c>
      <c r="E8" s="2">
        <v>1</v>
      </c>
      <c r="F8" s="4">
        <f>E8/(B8+E8)</f>
        <v>0.5</v>
      </c>
      <c r="G8" s="2" t="str">
        <f t="shared" si="1"/>
        <v>🟢 Normal</v>
      </c>
    </row>
    <row r="9" spans="1:7" x14ac:dyDescent="0.3">
      <c r="A9" s="2" t="s">
        <v>19</v>
      </c>
      <c r="B9" s="2">
        <v>0</v>
      </c>
      <c r="C9" s="2">
        <v>0</v>
      </c>
      <c r="D9" s="4">
        <f t="shared" si="0"/>
        <v>0</v>
      </c>
      <c r="E9" s="2">
        <v>2</v>
      </c>
      <c r="F9" s="4">
        <f>E9/(B9+E9+0.01)</f>
        <v>0.99502487562189068</v>
      </c>
      <c r="G9" s="2" t="str">
        <f t="shared" si="1"/>
        <v>🟢 Normal</v>
      </c>
    </row>
    <row r="10" spans="1:7" x14ac:dyDescent="0.3">
      <c r="A10" s="2" t="s">
        <v>20</v>
      </c>
      <c r="B10" s="2">
        <v>1</v>
      </c>
      <c r="C10" s="2">
        <v>90</v>
      </c>
      <c r="D10" s="4">
        <f t="shared" si="0"/>
        <v>0.5625</v>
      </c>
      <c r="E10" s="2">
        <v>0</v>
      </c>
      <c r="F10" s="4">
        <f>E10/(B10+E10)</f>
        <v>0</v>
      </c>
      <c r="G10" s="2" t="str">
        <f t="shared" si="1"/>
        <v>🟢 Normal</v>
      </c>
    </row>
    <row r="13" spans="1:7" x14ac:dyDescent="0.3">
      <c r="A13" t="s">
        <v>4</v>
      </c>
      <c r="B13" t="s">
        <v>79</v>
      </c>
    </row>
    <row r="14" spans="1:7" x14ac:dyDescent="0.3">
      <c r="A14" t="s">
        <v>84</v>
      </c>
      <c r="B14">
        <f t="shared" ref="B14:B20" si="2">C4/160</f>
        <v>0.85</v>
      </c>
    </row>
    <row r="15" spans="1:7" x14ac:dyDescent="0.3">
      <c r="A15" t="s">
        <v>85</v>
      </c>
      <c r="B15">
        <f t="shared" si="2"/>
        <v>0.45</v>
      </c>
    </row>
    <row r="16" spans="1:7" x14ac:dyDescent="0.3">
      <c r="A16" t="s">
        <v>86</v>
      </c>
      <c r="B16">
        <f t="shared" si="2"/>
        <v>0.5</v>
      </c>
    </row>
    <row r="17" spans="1:2" x14ac:dyDescent="0.3">
      <c r="A17" t="s">
        <v>87</v>
      </c>
      <c r="B17">
        <f t="shared" si="2"/>
        <v>0.75</v>
      </c>
    </row>
    <row r="18" spans="1:2" x14ac:dyDescent="0.3">
      <c r="A18" t="s">
        <v>88</v>
      </c>
      <c r="B18">
        <f t="shared" si="2"/>
        <v>0.375</v>
      </c>
    </row>
    <row r="19" spans="1:2" x14ac:dyDescent="0.3">
      <c r="A19" t="s">
        <v>89</v>
      </c>
      <c r="B19">
        <f t="shared" si="2"/>
        <v>0</v>
      </c>
    </row>
    <row r="20" spans="1:2" x14ac:dyDescent="0.3">
      <c r="A20" t="s">
        <v>90</v>
      </c>
      <c r="B20">
        <f t="shared" si="2"/>
        <v>0.5625</v>
      </c>
    </row>
  </sheetData>
  <mergeCells count="1">
    <mergeCell ref="A1:G1"/>
  </mergeCells>
  <conditionalFormatting sqref="D4:D20">
    <cfRule type="colorScale" priority="1">
      <colorScale>
        <cfvo type="num" val="0"/>
        <cfvo type="num" val="0.7"/>
        <cfvo type="num" val="1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activeCell="F7" sqref="F7"/>
    </sheetView>
  </sheetViews>
  <sheetFormatPr defaultRowHeight="14.4" x14ac:dyDescent="0.3"/>
  <cols>
    <col min="1" max="8" width="16" customWidth="1"/>
  </cols>
  <sheetData>
    <row r="1" spans="1:8" x14ac:dyDescent="0.3">
      <c r="A1" s="59" t="s">
        <v>91</v>
      </c>
      <c r="B1" s="47"/>
      <c r="C1" s="47"/>
      <c r="D1" s="47"/>
      <c r="E1" s="47"/>
      <c r="F1" s="47"/>
      <c r="G1" s="47"/>
      <c r="H1" s="47"/>
    </row>
    <row r="2" spans="1:8" x14ac:dyDescent="0.3">
      <c r="A2" s="47"/>
      <c r="B2" s="47"/>
      <c r="C2" s="47"/>
      <c r="D2" s="47"/>
      <c r="E2" s="47"/>
      <c r="F2" s="47"/>
      <c r="G2" s="47"/>
      <c r="H2" s="47"/>
    </row>
    <row r="3" spans="1:8" x14ac:dyDescent="0.3">
      <c r="A3" s="60" t="s">
        <v>92</v>
      </c>
      <c r="B3" s="47"/>
      <c r="C3" s="47"/>
      <c r="D3" s="47"/>
      <c r="E3" s="47"/>
      <c r="F3" s="47"/>
      <c r="G3" s="47"/>
      <c r="H3" s="47"/>
    </row>
    <row r="5" spans="1:8" ht="18" x14ac:dyDescent="0.35">
      <c r="A5" s="61" t="s">
        <v>93</v>
      </c>
      <c r="B5" s="47"/>
      <c r="C5" s="47"/>
      <c r="D5" s="47"/>
      <c r="E5" s="47"/>
      <c r="F5" s="47"/>
      <c r="G5" s="47"/>
      <c r="H5" s="47"/>
    </row>
    <row r="6" spans="1:8" x14ac:dyDescent="0.3">
      <c r="A6" s="26" t="s">
        <v>94</v>
      </c>
      <c r="B6" s="27" t="s">
        <v>95</v>
      </c>
      <c r="C6" s="28" t="s">
        <v>96</v>
      </c>
      <c r="D6" s="29" t="s">
        <v>97</v>
      </c>
      <c r="E6" s="30" t="s">
        <v>98</v>
      </c>
      <c r="F6" s="31" t="s">
        <v>99</v>
      </c>
      <c r="G6" s="32" t="s">
        <v>100</v>
      </c>
      <c r="H6" s="28" t="s">
        <v>101</v>
      </c>
    </row>
    <row r="7" spans="1:8" ht="18" x14ac:dyDescent="0.3">
      <c r="A7" s="33">
        <f>COUNTA('Página inicial'!A3:A100)</f>
        <v>6</v>
      </c>
      <c r="B7" s="34">
        <f>COUNTIF('Página inicial'!C:C,"Em execução")</f>
        <v>1</v>
      </c>
      <c r="C7" s="35">
        <f>COUNTIF('Página inicial'!C:C,"Concluída")</f>
        <v>0</v>
      </c>
      <c r="D7" s="36">
        <f ca="1">COUNTIF('Página inicial'!J:J,"*Alto*")</f>
        <v>0</v>
      </c>
      <c r="E7" s="37" t="str">
        <f>TEXT(C7/B7,"0%")</f>
        <v>0%</v>
      </c>
      <c r="F7" s="38" t="e">
        <f>AVERAGE('Página inicial'!G3:G20)</f>
        <v>#REF!</v>
      </c>
      <c r="G7" s="39" t="e">
        <f>SUM('Página inicial'!#REF!)</f>
        <v>#REF!</v>
      </c>
      <c r="H7" s="40" t="e">
        <f>AVERAGE('Processo 1'!J4)</f>
        <v>#DIV/0!</v>
      </c>
    </row>
    <row r="10" spans="1:8" x14ac:dyDescent="0.3">
      <c r="A10" t="s">
        <v>3</v>
      </c>
      <c r="B10" t="s">
        <v>102</v>
      </c>
    </row>
    <row r="11" spans="1:8" x14ac:dyDescent="0.3">
      <c r="A11" t="s">
        <v>13</v>
      </c>
      <c r="B11">
        <f>COUNTIF('Página inicial'!C:C,"Em execução")</f>
        <v>1</v>
      </c>
    </row>
    <row r="12" spans="1:8" x14ac:dyDescent="0.3">
      <c r="A12" t="s">
        <v>18</v>
      </c>
      <c r="B12">
        <f>COUNTIF('Página inicial'!C:C,"Em execução")</f>
        <v>1</v>
      </c>
    </row>
    <row r="13" spans="1:8" x14ac:dyDescent="0.3">
      <c r="A13" t="s">
        <v>15</v>
      </c>
      <c r="B13">
        <f>COUNTIF('Página inicial'!C:C,"Em execução")</f>
        <v>1</v>
      </c>
    </row>
    <row r="14" spans="1:8" x14ac:dyDescent="0.3">
      <c r="A14" t="s">
        <v>103</v>
      </c>
      <c r="B14">
        <f>COUNTIF('Página inicial'!C:C,"Em execução")</f>
        <v>1</v>
      </c>
    </row>
  </sheetData>
  <mergeCells count="3">
    <mergeCell ref="A1:H2"/>
    <mergeCell ref="A3:H3"/>
    <mergeCell ref="A5:H5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workbookViewId="0">
      <selection activeCell="A17" sqref="A17:F17"/>
    </sheetView>
  </sheetViews>
  <sheetFormatPr defaultRowHeight="14.4" x14ac:dyDescent="0.3"/>
  <cols>
    <col min="1" max="1" width="80" customWidth="1"/>
  </cols>
  <sheetData>
    <row r="1" spans="1:6" ht="21" x14ac:dyDescent="0.3">
      <c r="A1" s="55" t="s">
        <v>104</v>
      </c>
      <c r="B1" s="47"/>
      <c r="C1" s="47"/>
      <c r="D1" s="47"/>
      <c r="E1" s="47"/>
      <c r="F1" s="47"/>
    </row>
    <row r="3" spans="1:6" x14ac:dyDescent="0.3">
      <c r="A3" s="64"/>
      <c r="B3" s="47"/>
      <c r="C3" s="47"/>
      <c r="D3" s="47"/>
      <c r="E3" s="47"/>
      <c r="F3" s="47"/>
    </row>
    <row r="4" spans="1:6" ht="15.6" x14ac:dyDescent="0.3">
      <c r="A4" s="65" t="s">
        <v>105</v>
      </c>
      <c r="B4" s="47"/>
      <c r="C4" s="47"/>
      <c r="D4" s="47"/>
      <c r="E4" s="47"/>
      <c r="F4" s="47"/>
    </row>
    <row r="5" spans="1:6" x14ac:dyDescent="0.3">
      <c r="A5" s="64"/>
      <c r="B5" s="47"/>
      <c r="C5" s="47"/>
      <c r="D5" s="47"/>
      <c r="E5" s="47"/>
      <c r="F5" s="47"/>
    </row>
    <row r="6" spans="1:6" x14ac:dyDescent="0.3">
      <c r="A6" s="63" t="s">
        <v>106</v>
      </c>
      <c r="B6" s="47"/>
      <c r="C6" s="47"/>
      <c r="D6" s="47"/>
      <c r="E6" s="47"/>
      <c r="F6" s="47"/>
    </row>
    <row r="7" spans="1:6" x14ac:dyDescent="0.3">
      <c r="A7" s="63" t="s">
        <v>107</v>
      </c>
      <c r="B7" s="47"/>
      <c r="C7" s="47"/>
      <c r="D7" s="47"/>
      <c r="E7" s="47"/>
      <c r="F7" s="47"/>
    </row>
    <row r="8" spans="1:6" x14ac:dyDescent="0.3">
      <c r="A8" s="63" t="s">
        <v>108</v>
      </c>
      <c r="B8" s="47"/>
      <c r="C8" s="47"/>
      <c r="D8" s="47"/>
      <c r="E8" s="47"/>
      <c r="F8" s="47"/>
    </row>
    <row r="9" spans="1:6" x14ac:dyDescent="0.3">
      <c r="A9" s="63" t="s">
        <v>109</v>
      </c>
      <c r="B9" s="47"/>
      <c r="C9" s="47"/>
      <c r="D9" s="47"/>
      <c r="E9" s="47"/>
      <c r="F9" s="47"/>
    </row>
    <row r="10" spans="1:6" x14ac:dyDescent="0.3">
      <c r="A10" s="63" t="s">
        <v>110</v>
      </c>
      <c r="B10" s="47"/>
      <c r="C10" s="47"/>
      <c r="D10" s="47"/>
      <c r="E10" s="47"/>
      <c r="F10" s="47"/>
    </row>
    <row r="11" spans="1:6" x14ac:dyDescent="0.3">
      <c r="A11" s="63" t="s">
        <v>111</v>
      </c>
      <c r="B11" s="47"/>
      <c r="C11" s="47"/>
      <c r="D11" s="47"/>
      <c r="E11" s="47"/>
      <c r="F11" s="47"/>
    </row>
    <row r="12" spans="1:6" x14ac:dyDescent="0.3">
      <c r="A12" s="63" t="s">
        <v>112</v>
      </c>
      <c r="B12" s="47"/>
      <c r="C12" s="47"/>
      <c r="D12" s="47"/>
      <c r="E12" s="47"/>
      <c r="F12" s="47"/>
    </row>
    <row r="13" spans="1:6" x14ac:dyDescent="0.3">
      <c r="A13" s="63" t="s">
        <v>113</v>
      </c>
      <c r="B13" s="47"/>
      <c r="C13" s="47"/>
      <c r="D13" s="47"/>
      <c r="E13" s="47"/>
      <c r="F13" s="47"/>
    </row>
    <row r="14" spans="1:6" x14ac:dyDescent="0.3">
      <c r="A14" s="64"/>
      <c r="B14" s="47"/>
      <c r="C14" s="47"/>
      <c r="D14" s="47"/>
      <c r="E14" s="47"/>
      <c r="F14" s="47"/>
    </row>
    <row r="15" spans="1:6" ht="15.6" x14ac:dyDescent="0.3">
      <c r="A15" s="65" t="s">
        <v>114</v>
      </c>
      <c r="B15" s="47"/>
      <c r="C15" s="47"/>
      <c r="D15" s="47"/>
      <c r="E15" s="47"/>
      <c r="F15" s="47"/>
    </row>
    <row r="16" spans="1:6" x14ac:dyDescent="0.3">
      <c r="A16" s="64"/>
      <c r="B16" s="47"/>
      <c r="C16" s="47"/>
      <c r="D16" s="47"/>
      <c r="E16" s="47"/>
      <c r="F16" s="47"/>
    </row>
    <row r="17" spans="1:6" x14ac:dyDescent="0.3">
      <c r="A17" s="62" t="s">
        <v>115</v>
      </c>
      <c r="B17" s="47"/>
      <c r="C17" s="47"/>
      <c r="D17" s="47"/>
      <c r="E17" s="47"/>
      <c r="F17" s="47"/>
    </row>
    <row r="18" spans="1:6" x14ac:dyDescent="0.3">
      <c r="A18" s="62" t="s">
        <v>116</v>
      </c>
      <c r="B18" s="47"/>
      <c r="C18" s="47"/>
      <c r="D18" s="47"/>
      <c r="E18" s="47"/>
      <c r="F18" s="47"/>
    </row>
    <row r="19" spans="1:6" x14ac:dyDescent="0.3">
      <c r="A19" s="62" t="s">
        <v>117</v>
      </c>
      <c r="B19" s="47"/>
      <c r="C19" s="47"/>
      <c r="D19" s="47"/>
      <c r="E19" s="47"/>
      <c r="F19" s="47"/>
    </row>
    <row r="20" spans="1:6" x14ac:dyDescent="0.3">
      <c r="A20" s="62" t="s">
        <v>118</v>
      </c>
      <c r="B20" s="47"/>
      <c r="C20" s="47"/>
      <c r="D20" s="47"/>
      <c r="E20" s="47"/>
      <c r="F20" s="47"/>
    </row>
    <row r="21" spans="1:6" x14ac:dyDescent="0.3">
      <c r="A21" s="64"/>
      <c r="B21" s="47"/>
      <c r="C21" s="47"/>
      <c r="D21" s="47"/>
      <c r="E21" s="47"/>
      <c r="F21" s="47"/>
    </row>
    <row r="22" spans="1:6" ht="15.6" x14ac:dyDescent="0.3">
      <c r="A22" s="65" t="s">
        <v>119</v>
      </c>
      <c r="B22" s="47"/>
      <c r="C22" s="47"/>
      <c r="D22" s="47"/>
      <c r="E22" s="47"/>
      <c r="F22" s="47"/>
    </row>
    <row r="23" spans="1:6" x14ac:dyDescent="0.3">
      <c r="A23" s="64"/>
      <c r="B23" s="47"/>
      <c r="C23" s="47"/>
      <c r="D23" s="47"/>
      <c r="E23" s="47"/>
      <c r="F23" s="47"/>
    </row>
    <row r="24" spans="1:6" x14ac:dyDescent="0.3">
      <c r="A24" s="62" t="s">
        <v>120</v>
      </c>
      <c r="B24" s="47"/>
      <c r="C24" s="47"/>
      <c r="D24" s="47"/>
      <c r="E24" s="47"/>
      <c r="F24" s="47"/>
    </row>
    <row r="25" spans="1:6" x14ac:dyDescent="0.3">
      <c r="A25" s="62" t="s">
        <v>121</v>
      </c>
      <c r="B25" s="47"/>
      <c r="C25" s="47"/>
      <c r="D25" s="47"/>
      <c r="E25" s="47"/>
      <c r="F25" s="47"/>
    </row>
    <row r="26" spans="1:6" x14ac:dyDescent="0.3">
      <c r="A26" s="62" t="s">
        <v>122</v>
      </c>
      <c r="B26" s="47"/>
      <c r="C26" s="47"/>
      <c r="D26" s="47"/>
      <c r="E26" s="47"/>
      <c r="F26" s="47"/>
    </row>
    <row r="27" spans="1:6" x14ac:dyDescent="0.3">
      <c r="A27" s="62" t="s">
        <v>123</v>
      </c>
      <c r="B27" s="47"/>
      <c r="C27" s="47"/>
      <c r="D27" s="47"/>
      <c r="E27" s="47"/>
      <c r="F27" s="47"/>
    </row>
  </sheetData>
  <mergeCells count="26">
    <mergeCell ref="A1:F1"/>
    <mergeCell ref="A6:F6"/>
    <mergeCell ref="A7:F7"/>
    <mergeCell ref="A25:F25"/>
    <mergeCell ref="A13:F13"/>
    <mergeCell ref="A19:F19"/>
    <mergeCell ref="A9:F9"/>
    <mergeCell ref="A15:F15"/>
    <mergeCell ref="A24:F24"/>
    <mergeCell ref="A11:F11"/>
    <mergeCell ref="A16:F16"/>
    <mergeCell ref="A27:F27"/>
    <mergeCell ref="A12:F12"/>
    <mergeCell ref="A18:F18"/>
    <mergeCell ref="A3:F3"/>
    <mergeCell ref="A21:F21"/>
    <mergeCell ref="A26:F26"/>
    <mergeCell ref="A14:F14"/>
    <mergeCell ref="A5:F5"/>
    <mergeCell ref="A23:F23"/>
    <mergeCell ref="A8:F8"/>
    <mergeCell ref="A22:F22"/>
    <mergeCell ref="A17:F17"/>
    <mergeCell ref="A4:F4"/>
    <mergeCell ref="A20:F20"/>
    <mergeCell ref="A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1"/>
  <sheetViews>
    <sheetView topLeftCell="A12" workbookViewId="0">
      <selection sqref="A1:D1"/>
    </sheetView>
  </sheetViews>
  <sheetFormatPr defaultRowHeight="14.4" x14ac:dyDescent="0.3"/>
  <cols>
    <col min="1" max="1" width="75" customWidth="1"/>
  </cols>
  <sheetData>
    <row r="1" spans="1:4" ht="21" x14ac:dyDescent="0.3">
      <c r="A1" s="55" t="s">
        <v>124</v>
      </c>
      <c r="B1" s="47"/>
      <c r="C1" s="47"/>
      <c r="D1" s="47"/>
    </row>
    <row r="2" spans="1:4" x14ac:dyDescent="0.3">
      <c r="A2" s="64"/>
      <c r="B2" s="47"/>
      <c r="C2" s="47"/>
      <c r="D2" s="47"/>
    </row>
    <row r="3" spans="1:4" ht="15.6" x14ac:dyDescent="0.3">
      <c r="A3" s="65" t="s">
        <v>125</v>
      </c>
      <c r="B3" s="47"/>
      <c r="C3" s="47"/>
      <c r="D3" s="47"/>
    </row>
    <row r="4" spans="1:4" x14ac:dyDescent="0.3">
      <c r="A4" s="64"/>
      <c r="B4" s="47"/>
      <c r="C4" s="47"/>
      <c r="D4" s="47"/>
    </row>
    <row r="5" spans="1:4" x14ac:dyDescent="0.3">
      <c r="A5" s="64" t="s">
        <v>126</v>
      </c>
      <c r="B5" s="47"/>
      <c r="C5" s="47"/>
      <c r="D5" s="47"/>
    </row>
    <row r="6" spans="1:4" x14ac:dyDescent="0.3">
      <c r="A6" s="64"/>
      <c r="B6" s="47"/>
      <c r="C6" s="47"/>
      <c r="D6" s="47"/>
    </row>
    <row r="7" spans="1:4" ht="15.6" x14ac:dyDescent="0.3">
      <c r="A7" s="65" t="s">
        <v>127</v>
      </c>
      <c r="B7" s="47"/>
      <c r="C7" s="47"/>
      <c r="D7" s="47"/>
    </row>
    <row r="8" spans="1:4" x14ac:dyDescent="0.3">
      <c r="A8" s="64"/>
      <c r="B8" s="47"/>
      <c r="C8" s="47"/>
      <c r="D8" s="47"/>
    </row>
    <row r="9" spans="1:4" x14ac:dyDescent="0.3">
      <c r="A9" s="66" t="s">
        <v>128</v>
      </c>
      <c r="B9" s="47"/>
      <c r="C9" s="47"/>
      <c r="D9" s="47"/>
    </row>
    <row r="10" spans="1:4" x14ac:dyDescent="0.3">
      <c r="A10" s="66" t="s">
        <v>129</v>
      </c>
      <c r="B10" s="47"/>
      <c r="C10" s="47"/>
      <c r="D10" s="47"/>
    </row>
    <row r="11" spans="1:4" x14ac:dyDescent="0.3">
      <c r="A11" s="66" t="s">
        <v>130</v>
      </c>
      <c r="B11" s="47"/>
      <c r="C11" s="47"/>
      <c r="D11" s="47"/>
    </row>
    <row r="12" spans="1:4" x14ac:dyDescent="0.3">
      <c r="A12" s="66" t="s">
        <v>131</v>
      </c>
      <c r="B12" s="47"/>
      <c r="C12" s="47"/>
      <c r="D12" s="47"/>
    </row>
    <row r="13" spans="1:4" x14ac:dyDescent="0.3">
      <c r="A13" s="66" t="s">
        <v>132</v>
      </c>
      <c r="B13" s="47"/>
      <c r="C13" s="47"/>
      <c r="D13" s="47"/>
    </row>
    <row r="14" spans="1:4" x14ac:dyDescent="0.3">
      <c r="A14" s="66" t="s">
        <v>133</v>
      </c>
      <c r="B14" s="47"/>
      <c r="C14" s="47"/>
      <c r="D14" s="47"/>
    </row>
    <row r="15" spans="1:4" x14ac:dyDescent="0.3">
      <c r="A15" s="66" t="s">
        <v>134</v>
      </c>
      <c r="B15" s="47"/>
      <c r="C15" s="47"/>
      <c r="D15" s="47"/>
    </row>
    <row r="16" spans="1:4" x14ac:dyDescent="0.3">
      <c r="A16" s="64"/>
      <c r="B16" s="47"/>
      <c r="C16" s="47"/>
      <c r="D16" s="47"/>
    </row>
    <row r="17" spans="1:4" ht="15.6" x14ac:dyDescent="0.3">
      <c r="A17" s="65" t="s">
        <v>135</v>
      </c>
      <c r="B17" s="47"/>
      <c r="C17" s="47"/>
      <c r="D17" s="47"/>
    </row>
    <row r="18" spans="1:4" x14ac:dyDescent="0.3">
      <c r="A18" s="64"/>
      <c r="B18" s="47"/>
      <c r="C18" s="47"/>
      <c r="D18" s="47"/>
    </row>
    <row r="19" spans="1:4" x14ac:dyDescent="0.3">
      <c r="A19" s="63" t="s">
        <v>136</v>
      </c>
      <c r="B19" s="47"/>
      <c r="C19" s="47"/>
      <c r="D19" s="47"/>
    </row>
    <row r="20" spans="1:4" x14ac:dyDescent="0.3">
      <c r="A20" s="63" t="s">
        <v>137</v>
      </c>
      <c r="B20" s="47"/>
      <c r="C20" s="47"/>
      <c r="D20" s="47"/>
    </row>
    <row r="21" spans="1:4" x14ac:dyDescent="0.3">
      <c r="A21" s="63" t="s">
        <v>138</v>
      </c>
      <c r="B21" s="47"/>
      <c r="C21" s="47"/>
      <c r="D21" s="47"/>
    </row>
    <row r="22" spans="1:4" x14ac:dyDescent="0.3">
      <c r="A22" s="63" t="s">
        <v>139</v>
      </c>
      <c r="B22" s="47"/>
      <c r="C22" s="47"/>
      <c r="D22" s="47"/>
    </row>
    <row r="23" spans="1:4" x14ac:dyDescent="0.3">
      <c r="A23" s="63" t="s">
        <v>140</v>
      </c>
      <c r="B23" s="47"/>
      <c r="C23" s="47"/>
      <c r="D23" s="47"/>
    </row>
    <row r="24" spans="1:4" x14ac:dyDescent="0.3">
      <c r="A24" s="63" t="s">
        <v>141</v>
      </c>
      <c r="B24" s="47"/>
      <c r="C24" s="47"/>
      <c r="D24" s="47"/>
    </row>
    <row r="25" spans="1:4" x14ac:dyDescent="0.3">
      <c r="A25" s="63" t="s">
        <v>142</v>
      </c>
      <c r="B25" s="47"/>
      <c r="C25" s="47"/>
      <c r="D25" s="47"/>
    </row>
    <row r="26" spans="1:4" x14ac:dyDescent="0.3">
      <c r="A26" s="63" t="s">
        <v>143</v>
      </c>
      <c r="B26" s="47"/>
      <c r="C26" s="47"/>
      <c r="D26" s="47"/>
    </row>
    <row r="27" spans="1:4" x14ac:dyDescent="0.3">
      <c r="A27" s="63" t="s">
        <v>144</v>
      </c>
      <c r="B27" s="47"/>
      <c r="C27" s="47"/>
      <c r="D27" s="47"/>
    </row>
    <row r="28" spans="1:4" x14ac:dyDescent="0.3">
      <c r="A28" s="64"/>
      <c r="B28" s="47"/>
      <c r="C28" s="47"/>
      <c r="D28" s="47"/>
    </row>
    <row r="29" spans="1:4" ht="15.6" x14ac:dyDescent="0.3">
      <c r="A29" s="65" t="s">
        <v>145</v>
      </c>
      <c r="B29" s="47"/>
      <c r="C29" s="47"/>
      <c r="D29" s="47"/>
    </row>
    <row r="30" spans="1:4" x14ac:dyDescent="0.3">
      <c r="A30" s="64"/>
      <c r="B30" s="47"/>
      <c r="C30" s="47"/>
      <c r="D30" s="47"/>
    </row>
    <row r="31" spans="1:4" x14ac:dyDescent="0.3">
      <c r="A31" s="64" t="s">
        <v>146</v>
      </c>
      <c r="B31" s="47"/>
      <c r="C31" s="47"/>
      <c r="D31" s="47"/>
    </row>
    <row r="32" spans="1:4" x14ac:dyDescent="0.3">
      <c r="A32" s="64" t="s">
        <v>147</v>
      </c>
      <c r="B32" s="47"/>
      <c r="C32" s="47"/>
      <c r="D32" s="47"/>
    </row>
    <row r="33" spans="1:4" x14ac:dyDescent="0.3">
      <c r="A33" s="64" t="s">
        <v>148</v>
      </c>
      <c r="B33" s="47"/>
      <c r="C33" s="47"/>
      <c r="D33" s="47"/>
    </row>
    <row r="34" spans="1:4" x14ac:dyDescent="0.3">
      <c r="A34" s="64"/>
      <c r="B34" s="47"/>
      <c r="C34" s="47"/>
      <c r="D34" s="47"/>
    </row>
    <row r="35" spans="1:4" ht="15.6" x14ac:dyDescent="0.3">
      <c r="A35" s="65" t="s">
        <v>149</v>
      </c>
      <c r="B35" s="47"/>
      <c r="C35" s="47"/>
      <c r="D35" s="47"/>
    </row>
    <row r="36" spans="1:4" x14ac:dyDescent="0.3">
      <c r="A36" s="64"/>
      <c r="B36" s="47"/>
      <c r="C36" s="47"/>
      <c r="D36" s="47"/>
    </row>
    <row r="37" spans="1:4" x14ac:dyDescent="0.3">
      <c r="A37" s="66" t="s">
        <v>150</v>
      </c>
      <c r="B37" s="47"/>
      <c r="C37" s="47"/>
      <c r="D37" s="47"/>
    </row>
    <row r="38" spans="1:4" x14ac:dyDescent="0.3">
      <c r="A38" s="66" t="s">
        <v>151</v>
      </c>
      <c r="B38" s="47"/>
      <c r="C38" s="47"/>
      <c r="D38" s="47"/>
    </row>
    <row r="39" spans="1:4" x14ac:dyDescent="0.3">
      <c r="A39" s="66" t="s">
        <v>152</v>
      </c>
      <c r="B39" s="47"/>
      <c r="C39" s="47"/>
      <c r="D39" s="47"/>
    </row>
    <row r="40" spans="1:4" x14ac:dyDescent="0.3">
      <c r="A40" s="66" t="s">
        <v>153</v>
      </c>
      <c r="B40" s="47"/>
      <c r="C40" s="47"/>
      <c r="D40" s="47"/>
    </row>
    <row r="41" spans="1:4" x14ac:dyDescent="0.3">
      <c r="A41" s="66" t="s">
        <v>154</v>
      </c>
      <c r="B41" s="47"/>
      <c r="C41" s="47"/>
      <c r="D41" s="47"/>
    </row>
  </sheetData>
  <mergeCells count="41">
    <mergeCell ref="A1:D1"/>
    <mergeCell ref="A6:D6"/>
    <mergeCell ref="A7:D7"/>
    <mergeCell ref="A25:D25"/>
    <mergeCell ref="A41:D41"/>
    <mergeCell ref="A16:D16"/>
    <mergeCell ref="A37:D37"/>
    <mergeCell ref="A18:D18"/>
    <mergeCell ref="A27:D27"/>
    <mergeCell ref="A12:D12"/>
    <mergeCell ref="A3:D3"/>
    <mergeCell ref="A21:D21"/>
    <mergeCell ref="A26:D26"/>
    <mergeCell ref="A2:D2"/>
    <mergeCell ref="A33:D33"/>
    <mergeCell ref="A32:D32"/>
    <mergeCell ref="A40:D40"/>
    <mergeCell ref="A9:D9"/>
    <mergeCell ref="A31:D31"/>
    <mergeCell ref="A34:D34"/>
    <mergeCell ref="A30:D30"/>
    <mergeCell ref="A39:D39"/>
    <mergeCell ref="A15:D15"/>
    <mergeCell ref="A24:D24"/>
    <mergeCell ref="A11:D11"/>
    <mergeCell ref="A36:D36"/>
    <mergeCell ref="A14:D14"/>
    <mergeCell ref="A35:D35"/>
    <mergeCell ref="A4:D4"/>
    <mergeCell ref="A20:D20"/>
    <mergeCell ref="A38:D38"/>
    <mergeCell ref="A29:D29"/>
    <mergeCell ref="A19:D19"/>
    <mergeCell ref="A10:D10"/>
    <mergeCell ref="A28:D28"/>
    <mergeCell ref="A13:D13"/>
    <mergeCell ref="A5:D5"/>
    <mergeCell ref="A17:D17"/>
    <mergeCell ref="A23:D23"/>
    <mergeCell ref="A8:D8"/>
    <mergeCell ref="A22:D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Página inicial</vt:lpstr>
      <vt:lpstr>Processo 1</vt:lpstr>
      <vt:lpstr>Gantt</vt:lpstr>
      <vt:lpstr>Análise de Recursos</vt:lpstr>
      <vt:lpstr>Dashboard</vt:lpstr>
      <vt:lpstr>Automações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André Ribeiro Xavier</cp:lastModifiedBy>
  <dcterms:created xsi:type="dcterms:W3CDTF">2025-12-10T19:58:04Z</dcterms:created>
  <dcterms:modified xsi:type="dcterms:W3CDTF">2025-12-11T03:14:16Z</dcterms:modified>
</cp:coreProperties>
</file>